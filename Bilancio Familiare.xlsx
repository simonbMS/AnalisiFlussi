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CA425E7F3A7831/Backup Conti/"/>
    </mc:Choice>
  </mc:AlternateContent>
  <xr:revisionPtr revIDLastSave="2534" documentId="8_{B66F3100-AFB2-497A-8E37-CF2B793AE375}" xr6:coauthVersionLast="47" xr6:coauthVersionMax="47" xr10:uidLastSave="{B2F5C7D5-B814-44B2-9A53-742A78E52673}"/>
  <bookViews>
    <workbookView xWindow="25800" yWindow="-14235" windowWidth="26025" windowHeight="12150" firstSheet="1" activeTab="1" xr2:uid="{BE28E90F-86B5-456F-B559-5C94F6E2459C}"/>
  </bookViews>
  <sheets>
    <sheet name="Strumenti" sheetId="4" r:id="rId1"/>
    <sheet name="Strumenti_detail" sheetId="7" r:id="rId2"/>
    <sheet name="Budget Mensile" sheetId="6" r:id="rId3"/>
  </sheets>
  <definedNames>
    <definedName name="Geography">Table5[]</definedName>
    <definedName name="Strumenti">Table4[]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6" l="1"/>
  <c r="R10" i="6"/>
  <c r="N10" i="6"/>
  <c r="M10" i="6"/>
  <c r="F7" i="6"/>
  <c r="B9" i="6"/>
  <c r="F19" i="6" s="1"/>
  <c r="F18" i="6"/>
  <c r="B14" i="6"/>
  <c r="B13" i="6"/>
  <c r="O10" i="6" l="1"/>
  <c r="B6" i="6"/>
  <c r="C22" i="6" s="1"/>
  <c r="F6" i="6"/>
  <c r="B7" i="6"/>
  <c r="B3" i="6" s="1"/>
  <c r="B2" i="6" l="1"/>
  <c r="C23" i="6"/>
  <c r="J6" i="6" s="1"/>
</calcChain>
</file>

<file path=xl/sharedStrings.xml><?xml version="1.0" encoding="utf-8"?>
<sst xmlns="http://schemas.openxmlformats.org/spreadsheetml/2006/main" count="858" uniqueCount="150">
  <si>
    <t>Obbligazioni</t>
  </si>
  <si>
    <t>Azionario</t>
  </si>
  <si>
    <t>Totale</t>
  </si>
  <si>
    <t>Entrate</t>
  </si>
  <si>
    <t>Affitto Roma</t>
  </si>
  <si>
    <t>Stipendio Chiara</t>
  </si>
  <si>
    <t>Affitto Roncalceci</t>
  </si>
  <si>
    <t>Stipendio Simone</t>
  </si>
  <si>
    <t>Mensilità aggiuntive Chiara</t>
  </si>
  <si>
    <t>Mensilità aggiuntive Simone</t>
  </si>
  <si>
    <t>Uscite</t>
  </si>
  <si>
    <t>Mutuo</t>
  </si>
  <si>
    <t>Allocazione Risparmio</t>
  </si>
  <si>
    <t>Bilancio</t>
  </si>
  <si>
    <t>Alimentari</t>
  </si>
  <si>
    <t>Animali</t>
  </si>
  <si>
    <t>Ristoranti</t>
  </si>
  <si>
    <t>Bollette</t>
  </si>
  <si>
    <t>Salute</t>
  </si>
  <si>
    <t>Auto</t>
  </si>
  <si>
    <t>Per varie</t>
  </si>
  <si>
    <t>Manutenzione casa</t>
  </si>
  <si>
    <t>Shopping/Abbigliamento</t>
  </si>
  <si>
    <t>Fondo emerg.</t>
  </si>
  <si>
    <t>Fondo emergenza mesi</t>
  </si>
  <si>
    <t>Obbligazionario</t>
  </si>
  <si>
    <t>Ticker</t>
  </si>
  <si>
    <t>Tipologia</t>
  </si>
  <si>
    <t>Costo</t>
  </si>
  <si>
    <t>ACWE</t>
  </si>
  <si>
    <t>World</t>
  </si>
  <si>
    <t>AGGH</t>
  </si>
  <si>
    <t>DFNS</t>
  </si>
  <si>
    <t>Settoriale</t>
  </si>
  <si>
    <t>FLXI</t>
  </si>
  <si>
    <t>Emergenti</t>
  </si>
  <si>
    <t>HLTW</t>
  </si>
  <si>
    <t>Area</t>
  </si>
  <si>
    <t>MLPD</t>
  </si>
  <si>
    <t>USA</t>
  </si>
  <si>
    <t>SMART</t>
  </si>
  <si>
    <t>Euro</t>
  </si>
  <si>
    <t>TIGR</t>
  </si>
  <si>
    <t>US7</t>
  </si>
  <si>
    <t>VGEA</t>
  </si>
  <si>
    <t>VNRA</t>
  </si>
  <si>
    <t>WSRI</t>
  </si>
  <si>
    <t>WTAI</t>
  </si>
  <si>
    <t>Mese</t>
  </si>
  <si>
    <t>IMU Roma</t>
  </si>
  <si>
    <t>Non ammortizzate</t>
  </si>
  <si>
    <t>Tasse Affitto</t>
  </si>
  <si>
    <t>Scostamenti mensili</t>
  </si>
  <si>
    <t>Budget IN</t>
  </si>
  <si>
    <t>Budget OUT</t>
  </si>
  <si>
    <t>Actual IN</t>
  </si>
  <si>
    <t>ACTUAL OUT</t>
  </si>
  <si>
    <t>Delta IN</t>
  </si>
  <si>
    <t>Delta OUT</t>
  </si>
  <si>
    <t>Delta</t>
  </si>
  <si>
    <t>Ammort.</t>
  </si>
  <si>
    <t>Invest Teorico</t>
  </si>
  <si>
    <t>Ivest Possibile</t>
  </si>
  <si>
    <t>Ammort</t>
  </si>
  <si>
    <t>SGLD</t>
  </si>
  <si>
    <t>Materie prime</t>
  </si>
  <si>
    <t>Oro</t>
  </si>
  <si>
    <t>H50E</t>
  </si>
  <si>
    <t>JREU</t>
  </si>
  <si>
    <t>SP5A</t>
  </si>
  <si>
    <t>Bilancio non ammortizzato</t>
  </si>
  <si>
    <t>EXUS</t>
  </si>
  <si>
    <t>VDST</t>
  </si>
  <si>
    <t>LDO</t>
  </si>
  <si>
    <t>ENEL</t>
  </si>
  <si>
    <t>ISP</t>
  </si>
  <si>
    <t>META</t>
  </si>
  <si>
    <t>MSFT</t>
  </si>
  <si>
    <t>PST</t>
  </si>
  <si>
    <t>Europa</t>
  </si>
  <si>
    <t>Altri Sviluppati</t>
  </si>
  <si>
    <t>Cina</t>
  </si>
  <si>
    <t>Altri emergenti</t>
  </si>
  <si>
    <t>India</t>
  </si>
  <si>
    <t>Giappone</t>
  </si>
  <si>
    <t>RAIFFEISEN BILAN SOSTENIBILE R ACC</t>
  </si>
  <si>
    <t>M&amp;G LUX DYNAMIC ALLOCAT A EUR ACC</t>
  </si>
  <si>
    <t>Monetary</t>
  </si>
  <si>
    <t>PICTET GLOBAL MEGATREND SELECTION R EUR</t>
  </si>
  <si>
    <t>XEON</t>
  </si>
  <si>
    <t>ENI SDG LINKED TF 4,3% FB28 EUR</t>
  </si>
  <si>
    <t>BANCA SELLA 5,00% 16/05/28</t>
  </si>
  <si>
    <t>XD3E</t>
  </si>
  <si>
    <t>SRSA</t>
  </si>
  <si>
    <t>ISJP</t>
  </si>
  <si>
    <t>ZPRV</t>
  </si>
  <si>
    <t>CHIP</t>
  </si>
  <si>
    <t>FCT</t>
  </si>
  <si>
    <t>IWVL</t>
  </si>
  <si>
    <t>FLXC</t>
  </si>
  <si>
    <t>COFF</t>
  </si>
  <si>
    <t>GOOG</t>
  </si>
  <si>
    <t>H50A</t>
  </si>
  <si>
    <t>LEMA</t>
  </si>
  <si>
    <t>IT0005332827</t>
  </si>
  <si>
    <t>IT0005425753</t>
  </si>
  <si>
    <t>IT0005542359</t>
  </si>
  <si>
    <t>IT0005532715</t>
  </si>
  <si>
    <t>IT0005557084</t>
  </si>
  <si>
    <t>IT0005556011</t>
  </si>
  <si>
    <t>IT0005547390</t>
  </si>
  <si>
    <t>IT0005566408</t>
  </si>
  <si>
    <t>IT0005584302</t>
  </si>
  <si>
    <t>IT0005565392</t>
  </si>
  <si>
    <t>IT0005583478</t>
  </si>
  <si>
    <t>IT0005610297</t>
  </si>
  <si>
    <t>IT0005607269</t>
  </si>
  <si>
    <t>IT0005521171</t>
  </si>
  <si>
    <t>IT0005542524</t>
  </si>
  <si>
    <t>WDEF</t>
  </si>
  <si>
    <t>XAD1</t>
  </si>
  <si>
    <t>Moneyfarm monetario</t>
  </si>
  <si>
    <t>Moneyfarm portafoglio 7</t>
  </si>
  <si>
    <t>Private equity</t>
  </si>
  <si>
    <t>Private debt</t>
  </si>
  <si>
    <t>Alicrowd equity 1</t>
  </si>
  <si>
    <t>Alicrowd debt 1</t>
  </si>
  <si>
    <t>Fondo Pensione Simone</t>
  </si>
  <si>
    <t>CC Sella</t>
  </si>
  <si>
    <t>CT Sella</t>
  </si>
  <si>
    <t>CC Webank</t>
  </si>
  <si>
    <t>LCJP</t>
  </si>
  <si>
    <t>ECRP3</t>
  </si>
  <si>
    <t>Geography</t>
  </si>
  <si>
    <t>Exposure</t>
  </si>
  <si>
    <t>Asset class</t>
  </si>
  <si>
    <t>AssetClass</t>
  </si>
  <si>
    <t>Private markets</t>
  </si>
  <si>
    <t>Valuta</t>
  </si>
  <si>
    <t>Cash</t>
  </si>
  <si>
    <t>Dollaro</t>
  </si>
  <si>
    <t>Altro</t>
  </si>
  <si>
    <t>Altri Emergenti</t>
  </si>
  <si>
    <t>WSLV</t>
  </si>
  <si>
    <t>IT0005648248</t>
  </si>
  <si>
    <t>IT0005648149</t>
  </si>
  <si>
    <t>IHYG</t>
  </si>
  <si>
    <t>HYC</t>
  </si>
  <si>
    <t>IWMO</t>
  </si>
  <si>
    <t>NUCL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</si>
</sst>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_€"/>
    <numFmt numFmtId="166" formatCode="0.0%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Arial"/>
    </font>
    <font>
      <sz val="10"/>
      <name val="Arial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0" borderId="0"/>
  </cellStyleXfs>
  <cellXfs count="28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0" xfId="0" applyFont="1"/>
    <xf numFmtId="9" fontId="0" fillId="0" borderId="0" xfId="0" applyNumberFormat="1"/>
    <xf numFmtId="0" fontId="0" fillId="0" borderId="0" xfId="0" applyAlignment="1">
      <alignment horizontal="left"/>
    </xf>
    <xf numFmtId="9" fontId="0" fillId="0" borderId="0" xfId="1" applyFont="1"/>
    <xf numFmtId="4" fontId="0" fillId="0" borderId="1" xfId="0" applyNumberFormat="1" applyBorder="1"/>
    <xf numFmtId="44" fontId="0" fillId="0" borderId="0" xfId="2" applyFont="1"/>
    <xf numFmtId="17" fontId="0" fillId="0" borderId="0" xfId="0" applyNumberFormat="1"/>
    <xf numFmtId="44" fontId="0" fillId="0" borderId="0" xfId="0" applyNumberFormat="1"/>
    <xf numFmtId="2" fontId="0" fillId="0" borderId="0" xfId="0" applyNumberFormat="1"/>
    <xf numFmtId="9" fontId="5" fillId="0" borderId="3" xfId="1" applyFont="1" applyBorder="1" applyAlignment="1">
      <alignment horizontal="left"/>
    </xf>
    <xf numFmtId="166" fontId="0" fillId="0" borderId="0" xfId="1" applyNumberFormat="1" applyFont="1"/>
    <xf numFmtId="9" fontId="5" fillId="0" borderId="4" xfId="1" applyFont="1" applyBorder="1" applyAlignment="1">
      <alignment horizontal="left"/>
    </xf>
    <xf numFmtId="9" fontId="0" fillId="0" borderId="0" xfId="1" applyFont="1" applyBorder="1"/>
    <xf numFmtId="166" fontId="0" fillId="0" borderId="0" xfId="1" applyNumberFormat="1" applyFont="1" applyBorder="1"/>
    <xf numFmtId="0" fontId="0" fillId="0" borderId="2" xfId="0" applyBorder="1"/>
    <xf numFmtId="0" fontId="4" fillId="0" borderId="0" xfId="0" applyFont="1" applyAlignment="1">
      <alignment wrapText="1"/>
    </xf>
    <xf numFmtId="9" fontId="5" fillId="0" borderId="0" xfId="1" applyFont="1" applyBorder="1" applyAlignment="1">
      <alignment horizontal="left"/>
    </xf>
    <xf numFmtId="0" fontId="0" fillId="0" borderId="4" xfId="0" applyBorder="1"/>
    <xf numFmtId="0" fontId="8" fillId="0" borderId="0" xfId="0" applyFont="1"/>
    <xf numFmtId="166" fontId="0" fillId="0" borderId="0" xfId="0" applyNumberFormat="1"/>
    <xf numFmtId="0" fontId="7" fillId="2" borderId="6" xfId="0" applyFont="1" applyFill="1" applyBorder="1"/>
    <xf numFmtId="0" fontId="7" fillId="2" borderId="5" xfId="0" applyFont="1" applyFill="1" applyBorder="1"/>
    <xf numFmtId="9" fontId="9" fillId="3" borderId="0" xfId="1" applyFont="1" applyFill="1" applyBorder="1" applyAlignment="1">
      <alignment horizontal="left"/>
    </xf>
    <xf numFmtId="9" fontId="7" fillId="2" borderId="7" xfId="1" applyFont="1" applyFill="1" applyBorder="1"/>
  </cellXfs>
  <cellStyles count="4">
    <cellStyle name="Currency" xfId="2" builtinId="4"/>
    <cellStyle name="Normal" xfId="0" builtinId="0"/>
    <cellStyle name="Normal 2" xfId="3" xr:uid="{30615F67-317A-4105-BA40-895CC9007A9C}"/>
    <cellStyle name="Percent" xfId="1" builtinId="5"/>
  </cellStyles>
  <dxfs count="30"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2" formatCode="mmm\-yy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0D56C-BCA5-4EC5-A641-BBA2A41F0AA9}" name="Table1" displayName="Table1" ref="A2:D29" totalsRowShown="0">
  <autoFilter ref="A2:D29" xr:uid="{DBD0D56C-BCA5-4EC5-A641-BBA2A41F0AA9}"/>
  <sortState xmlns:xlrd2="http://schemas.microsoft.com/office/spreadsheetml/2017/richdata2" ref="A3:D29">
    <sortCondition ref="A2:A29"/>
  </sortState>
  <tableColumns count="4">
    <tableColumn id="1" xr3:uid="{A2359494-5F7F-4B65-94DE-CA0FB175C730}" name="Ticker"/>
    <tableColumn id="2" xr3:uid="{D93C15D9-F5B9-4AC5-9C34-0A78BD3327EE}" name="Tipologia"/>
    <tableColumn id="3" xr3:uid="{DB829872-BE93-4018-8239-78EB8B291333}" name="Area"/>
    <tableColumn id="4" xr3:uid="{CCD22376-D3C9-4076-A024-8D0F735CC750}" name="Costo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A141F0-4CC9-4E53-B9D7-45EAA2CBCB8C}" name="Table4" displayName="Table4" ref="H2:U71" totalsRowShown="0" headerRowDxfId="28" dataDxfId="27" headerRowCellStyle="Percent" dataCellStyle="Percent">
  <autoFilter ref="H2:U71" xr:uid="{BCA141F0-4CC9-4E53-B9D7-45EAA2CBCB8C}"/>
  <sortState xmlns:xlrd2="http://schemas.microsoft.com/office/spreadsheetml/2017/richdata2" ref="H3:U71">
    <sortCondition ref="H2:H71"/>
  </sortState>
  <tableColumns count="14">
    <tableColumn id="1" xr3:uid="{F82790FB-00A9-49B8-8297-760FEE5D68EB}" name="Ticker" dataDxfId="26" dataCellStyle="Percent"/>
    <tableColumn id="2" xr3:uid="{E6A06B59-49B9-4109-9FF0-3BD7639A3CEC}" name="Azionario" dataDxfId="25" dataCellStyle="Percent"/>
    <tableColumn id="3" xr3:uid="{9134A28B-6698-45DF-A3BE-8F0D85A97E14}" name="Obbligazionario" dataDxfId="24" dataCellStyle="Percent"/>
    <tableColumn id="4" xr3:uid="{9EE3D272-74D9-4131-8C32-B667DECF9427}" name="Materie prime" dataDxfId="23" dataCellStyle="Percent"/>
    <tableColumn id="13" xr3:uid="{00D41CA6-4CAA-4FA2-8011-F786E66445C0}" name="Monetary" dataDxfId="22" dataCellStyle="Percent"/>
    <tableColumn id="12" xr3:uid="{F769E998-88EC-46AE-A67F-BD99FA781B74}" name="Private equity" dataDxfId="21" dataCellStyle="Percent"/>
    <tableColumn id="14" xr3:uid="{A79D6F91-0D98-4096-8238-BE20A4440E1B}" name="Private debt" dataDxfId="20" dataCellStyle="Percent"/>
    <tableColumn id="5" xr3:uid="{99AAF957-2020-4F95-95CA-AA87FDA68C8D}" name="USA" dataDxfId="19" dataCellStyle="Percent"/>
    <tableColumn id="6" xr3:uid="{B41DC81F-907A-4CF5-850F-3A9842D6E658}" name="Europa" dataDxfId="18" dataCellStyle="Percent"/>
    <tableColumn id="11" xr3:uid="{48CB5E4C-242A-4B28-8BEC-F2F2F4E07846}" name="Giappone" dataDxfId="17" dataCellStyle="Percent"/>
    <tableColumn id="7" xr3:uid="{2982BDED-EF4A-497B-9449-5722F1241DF1}" name="Altri Sviluppati" dataDxfId="16" dataCellStyle="Percent"/>
    <tableColumn id="8" xr3:uid="{06B0EEF4-B85D-4223-BFE1-1AA181B3AFE0}" name="Cina" dataDxfId="15" dataCellStyle="Percent"/>
    <tableColumn id="9" xr3:uid="{68A807CD-1550-48D3-BCF0-83F5A756C1D8}" name="India" dataDxfId="14" dataCellStyle="Percent"/>
    <tableColumn id="10" xr3:uid="{E0427AC8-8A03-479E-82F3-39DA1FA36AB2}" name="Altri emergenti" dataDxfId="13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7A1CC9-583E-45C4-AF02-4AA03F4C8AF0}" name="Table5" displayName="Table5" ref="A3:C126" totalsRowShown="0">
  <autoFilter ref="A3:C126" xr:uid="{B77A1CC9-583E-45C4-AF02-4AA03F4C8AF0}"/>
  <sortState xmlns:xlrd2="http://schemas.microsoft.com/office/spreadsheetml/2017/richdata2" ref="A4:C126">
    <sortCondition ref="A3:A126"/>
  </sortState>
  <tableColumns count="3">
    <tableColumn id="1" xr3:uid="{3B731312-7316-4D40-9E2B-C74ACE2BB910}" name="Ticker"/>
    <tableColumn id="2" xr3:uid="{A1715A17-BD9A-46A9-B618-2E7AEFAD29F9}" name="Geography"/>
    <tableColumn id="3" xr3:uid="{7EA4648A-EAA6-4E3D-9D0D-F13D7F6EB1FF}" name="Exposure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2BB48A-DBDE-4C03-ABEB-44375894D0F2}" name="AssetClass" displayName="AssetClass" ref="A130:C215" totalsRowShown="0" headerRowBorderDxfId="12" tableBorderDxfId="11">
  <autoFilter ref="A130:C215" xr:uid="{772BB48A-DBDE-4C03-ABEB-44375894D0F2}"/>
  <sortState xmlns:xlrd2="http://schemas.microsoft.com/office/spreadsheetml/2017/richdata2" ref="A131:C215">
    <sortCondition ref="A130:A215"/>
  </sortState>
  <tableColumns count="3">
    <tableColumn id="1" xr3:uid="{91481387-7960-4D24-A5E7-80DDDC397079}" name="Ticker"/>
    <tableColumn id="2" xr3:uid="{B6FCF3CB-6199-469F-9FF7-5DFB31ADB297}" name="AssetClass"/>
    <tableColumn id="3" xr3:uid="{58BC9F1F-38FF-40F2-9FAA-6B8CFC9648C7}" name="Exposure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2B45AC-B7D3-40AB-8C32-C467B3EDDD66}" name="Valuta" displayName="Valuta" ref="A219:C329" totalsRowShown="0">
  <autoFilter ref="A219:C329" xr:uid="{6E2B45AC-B7D3-40AB-8C32-C467B3EDDD66}"/>
  <sortState xmlns:xlrd2="http://schemas.microsoft.com/office/spreadsheetml/2017/richdata2" ref="A220:C329">
    <sortCondition ref="A219:A329"/>
  </sortState>
  <tableColumns count="3">
    <tableColumn id="1" xr3:uid="{D84191EA-1BF6-41AA-9CA2-4CE40D921698}" name="Ticker"/>
    <tableColumn id="2" xr3:uid="{0F2EA7FF-F3A4-4E37-B566-B4CB36E2CE21}" name="Cash"/>
    <tableColumn id="3" xr3:uid="{0D575B20-F9CC-4CCA-9148-46BDE95447A9}" name="Exposure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B0AA3E-479F-475A-BFE2-3540BEE7B13E}" name="Table3" displayName="Table3" ref="H9:S10" totalsRowShown="0">
  <autoFilter ref="H9:S10" xr:uid="{F6B0AA3E-479F-475A-BFE2-3540BEE7B13E}"/>
  <tableColumns count="12">
    <tableColumn id="1" xr3:uid="{4CC78673-79E9-42C7-888C-0D8F09DDF06A}" name="Mese" dataDxfId="10"/>
    <tableColumn id="2" xr3:uid="{01B13D13-6436-4BA2-ABAE-B80067341DD2}" name="Budget IN" dataDxfId="9" dataCellStyle="Currency"/>
    <tableColumn id="3" xr3:uid="{1B806E7C-2974-48BA-A034-4ADF69298DBF}" name="Budget OUT" dataDxfId="8" dataCellStyle="Currency"/>
    <tableColumn id="4" xr3:uid="{D3F5D5E2-1E0A-4846-AFFC-7917B090230E}" name="Actual IN" dataDxfId="7" dataCellStyle="Currency"/>
    <tableColumn id="5" xr3:uid="{2C22CA1A-7AA8-4E48-8B02-B1D98C4E8571}" name="ACTUAL OUT" dataDxfId="6" dataCellStyle="Currency"/>
    <tableColumn id="6" xr3:uid="{6FD79F5C-7DCE-4D0E-AF3F-9F39BB93A65B}" name="Delta IN" dataDxfId="5">
      <calculatedColumnFormula>K10-I10</calculatedColumnFormula>
    </tableColumn>
    <tableColumn id="7" xr3:uid="{903F2484-9F40-44C8-ABBD-4FEBAB44DD60}" name="Delta OUT" dataDxfId="4">
      <calculatedColumnFormula>J10-L10</calculatedColumnFormula>
    </tableColumn>
    <tableColumn id="8" xr3:uid="{73B8D990-3879-4429-92C3-A02BF3045214}" name="Delta" dataDxfId="3">
      <calculatedColumnFormula>M10+N10</calculatedColumnFormula>
    </tableColumn>
    <tableColumn id="13" xr3:uid="{F4A671FC-F200-4B97-8AB7-191EA4653FF8}" name="Ammort" dataDxfId="2"/>
    <tableColumn id="9" xr3:uid="{0020BA48-089A-4638-B587-9A0DC8A4DAEB}" name="Ammort."/>
    <tableColumn id="10" xr3:uid="{32125136-BF25-4350-A633-2E32A3F140CF}" name="Invest Teorico" dataDxfId="1">
      <calculatedColumnFormula>Table3[[#This Row],[Actual IN]]*0.33</calculatedColumnFormula>
    </tableColumn>
    <tableColumn id="12" xr3:uid="{71B60674-83BB-49FE-9B0F-5AD4861F5E2B}" name="Ivest Possibile" dataDxfId="0">
      <calculatedColumnFormula>Table3[[#This Row],[Actual IN]]-Table3[[#This Row],[ACTUAL OUT]]+Table3[[#This Row],[Ammort]]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9C79-1DF7-4D6A-ADC9-E55D6C20FF5D}">
  <dimension ref="A2:U71"/>
  <sheetViews>
    <sheetView topLeftCell="J58" workbookViewId="0">
      <selection activeCell="S2" sqref="S2:U71"/>
    </sheetView>
  </sheetViews>
  <sheetFormatPr defaultRowHeight="14.25" x14ac:dyDescent="0.45"/>
  <cols>
    <col min="1" max="1" width="8.06640625" bestFit="1" customWidth="1"/>
    <col min="2" max="2" width="14.19921875" customWidth="1"/>
    <col min="3" max="3" width="9.9296875" customWidth="1"/>
    <col min="8" max="8" width="25.06640625" customWidth="1"/>
    <col min="9" max="9" width="9.86328125" customWidth="1"/>
    <col min="10" max="10" width="15.06640625" customWidth="1"/>
    <col min="11" max="11" width="13.73046875" customWidth="1"/>
    <col min="12" max="12" width="10.33203125" bestFit="1" customWidth="1"/>
    <col min="17" max="17" width="13.46484375" customWidth="1"/>
    <col min="20" max="20" width="14.3984375" customWidth="1"/>
  </cols>
  <sheetData>
    <row r="2" spans="1:21" x14ac:dyDescent="0.45">
      <c r="A2" t="s">
        <v>26</v>
      </c>
      <c r="B2" t="s">
        <v>27</v>
      </c>
      <c r="C2" t="s">
        <v>37</v>
      </c>
      <c r="D2" t="s">
        <v>28</v>
      </c>
      <c r="H2" s="7" t="s">
        <v>26</v>
      </c>
      <c r="I2" s="7" t="s">
        <v>1</v>
      </c>
      <c r="J2" s="7" t="s">
        <v>25</v>
      </c>
      <c r="K2" s="7" t="s">
        <v>65</v>
      </c>
      <c r="L2" s="7" t="s">
        <v>87</v>
      </c>
      <c r="M2" s="7" t="s">
        <v>123</v>
      </c>
      <c r="N2" s="7" t="s">
        <v>124</v>
      </c>
      <c r="O2" s="7" t="s">
        <v>39</v>
      </c>
      <c r="P2" s="7" t="s">
        <v>79</v>
      </c>
      <c r="Q2" s="7" t="s">
        <v>84</v>
      </c>
      <c r="R2" s="7" t="s">
        <v>80</v>
      </c>
      <c r="S2" s="7" t="s">
        <v>81</v>
      </c>
      <c r="T2" s="7" t="s">
        <v>83</v>
      </c>
      <c r="U2" s="7" t="s">
        <v>82</v>
      </c>
    </row>
    <row r="3" spans="1:21" x14ac:dyDescent="0.45">
      <c r="A3" t="s">
        <v>29</v>
      </c>
      <c r="B3" t="s">
        <v>1</v>
      </c>
      <c r="C3" t="s">
        <v>30</v>
      </c>
      <c r="D3" s="12">
        <v>0.12</v>
      </c>
      <c r="H3" s="13" t="s">
        <v>29</v>
      </c>
      <c r="I3" s="14">
        <v>1</v>
      </c>
      <c r="J3" s="14">
        <v>0</v>
      </c>
      <c r="K3" s="14">
        <v>0</v>
      </c>
      <c r="L3" s="14">
        <v>0</v>
      </c>
      <c r="M3" s="16">
        <v>0</v>
      </c>
      <c r="N3" s="16">
        <v>0</v>
      </c>
      <c r="O3" s="14">
        <v>0.63600000000000001</v>
      </c>
      <c r="P3" s="14">
        <v>9.5000000000000001E-2</v>
      </c>
      <c r="Q3" s="14">
        <v>4.8000000000000001E-2</v>
      </c>
      <c r="R3" s="14">
        <v>0.19600000000000001</v>
      </c>
      <c r="S3" s="14">
        <v>2.5000000000000001E-2</v>
      </c>
      <c r="T3" s="14">
        <v>0</v>
      </c>
      <c r="U3" s="14">
        <v>0</v>
      </c>
    </row>
    <row r="4" spans="1:21" x14ac:dyDescent="0.45">
      <c r="A4" t="s">
        <v>31</v>
      </c>
      <c r="B4" s="6" t="s">
        <v>0</v>
      </c>
      <c r="C4" t="s">
        <v>30</v>
      </c>
      <c r="D4" s="12">
        <v>0.1</v>
      </c>
      <c r="H4" s="13" t="s">
        <v>31</v>
      </c>
      <c r="I4" s="17">
        <v>0</v>
      </c>
      <c r="J4" s="17">
        <v>1</v>
      </c>
      <c r="K4" s="17">
        <v>0</v>
      </c>
      <c r="L4" s="17">
        <v>0</v>
      </c>
      <c r="M4" s="16">
        <v>0</v>
      </c>
      <c r="N4" s="16">
        <v>0</v>
      </c>
      <c r="O4" s="7">
        <v>0.2</v>
      </c>
      <c r="P4" s="7">
        <v>0.57999999999999996</v>
      </c>
      <c r="Q4" s="17">
        <v>0.1</v>
      </c>
      <c r="R4" s="17">
        <v>0.05</v>
      </c>
      <c r="S4" s="17">
        <v>7.0000000000000007E-2</v>
      </c>
      <c r="T4" s="17">
        <v>0</v>
      </c>
      <c r="U4" s="17">
        <v>0</v>
      </c>
    </row>
    <row r="5" spans="1:21" x14ac:dyDescent="0.45">
      <c r="A5" s="18" t="s">
        <v>96</v>
      </c>
      <c r="B5" t="s">
        <v>1</v>
      </c>
      <c r="C5" t="s">
        <v>33</v>
      </c>
      <c r="D5" s="12">
        <v>0.35</v>
      </c>
      <c r="H5" s="13" t="s">
        <v>126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7">
        <v>1</v>
      </c>
      <c r="O5" s="16">
        <v>0</v>
      </c>
      <c r="P5" s="16">
        <v>1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45">
      <c r="A6" s="19" t="s">
        <v>32</v>
      </c>
      <c r="B6" t="s">
        <v>1</v>
      </c>
      <c r="C6" t="s">
        <v>33</v>
      </c>
      <c r="D6" s="12">
        <v>0.55000000000000004</v>
      </c>
      <c r="H6" s="13" t="s">
        <v>125</v>
      </c>
      <c r="I6" s="16">
        <v>0</v>
      </c>
      <c r="J6" s="16">
        <v>0</v>
      </c>
      <c r="K6" s="16">
        <v>0</v>
      </c>
      <c r="L6" s="16">
        <v>0</v>
      </c>
      <c r="M6" s="17">
        <v>1</v>
      </c>
      <c r="N6" s="16">
        <v>0</v>
      </c>
      <c r="O6" s="16">
        <v>0</v>
      </c>
      <c r="P6" s="16">
        <v>1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45">
      <c r="A7" t="s">
        <v>132</v>
      </c>
      <c r="B7" t="s">
        <v>0</v>
      </c>
      <c r="C7" t="s">
        <v>41</v>
      </c>
      <c r="D7" s="12">
        <v>0.12</v>
      </c>
      <c r="H7" s="13" t="s">
        <v>91</v>
      </c>
      <c r="I7" s="17">
        <v>0</v>
      </c>
      <c r="J7" s="17">
        <v>1</v>
      </c>
      <c r="K7" s="17">
        <v>0</v>
      </c>
      <c r="L7" s="17">
        <v>0</v>
      </c>
      <c r="M7" s="16">
        <v>0</v>
      </c>
      <c r="N7" s="16">
        <v>0</v>
      </c>
      <c r="O7" s="17">
        <v>0</v>
      </c>
      <c r="P7" s="17">
        <v>1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</row>
    <row r="8" spans="1:21" x14ac:dyDescent="0.45">
      <c r="A8" t="s">
        <v>71</v>
      </c>
      <c r="B8" t="s">
        <v>1</v>
      </c>
      <c r="C8" t="s">
        <v>30</v>
      </c>
      <c r="D8" s="12">
        <v>0.15</v>
      </c>
      <c r="H8" s="13" t="s">
        <v>128</v>
      </c>
      <c r="I8" s="16">
        <v>0</v>
      </c>
      <c r="J8" s="16">
        <v>0</v>
      </c>
      <c r="K8" s="16">
        <v>0</v>
      </c>
      <c r="L8" s="17">
        <v>1</v>
      </c>
      <c r="M8" s="16">
        <v>0</v>
      </c>
      <c r="N8" s="16">
        <v>0</v>
      </c>
      <c r="O8" s="16">
        <v>0</v>
      </c>
      <c r="P8" s="16">
        <v>1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</row>
    <row r="9" spans="1:21" x14ac:dyDescent="0.45">
      <c r="A9" t="s">
        <v>99</v>
      </c>
      <c r="B9" t="s">
        <v>1</v>
      </c>
      <c r="C9" t="s">
        <v>35</v>
      </c>
      <c r="D9" s="12">
        <v>0.19</v>
      </c>
      <c r="H9" s="13" t="s">
        <v>130</v>
      </c>
      <c r="I9" s="16">
        <v>0</v>
      </c>
      <c r="J9" s="16">
        <v>0</v>
      </c>
      <c r="K9" s="16">
        <v>0</v>
      </c>
      <c r="L9" s="17">
        <v>1</v>
      </c>
      <c r="M9" s="16">
        <v>0</v>
      </c>
      <c r="N9" s="16">
        <v>0</v>
      </c>
      <c r="O9" s="16">
        <v>0</v>
      </c>
      <c r="P9" s="16">
        <v>1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</row>
    <row r="10" spans="1:21" x14ac:dyDescent="0.45">
      <c r="A10" t="s">
        <v>34</v>
      </c>
      <c r="B10" t="s">
        <v>1</v>
      </c>
      <c r="C10" t="s">
        <v>35</v>
      </c>
      <c r="D10" s="12">
        <v>0.19</v>
      </c>
      <c r="H10" s="13" t="s">
        <v>96</v>
      </c>
      <c r="I10" s="16">
        <v>1</v>
      </c>
      <c r="J10" s="17">
        <v>0</v>
      </c>
      <c r="K10" s="17">
        <v>0</v>
      </c>
      <c r="L10" s="17">
        <v>0</v>
      </c>
      <c r="M10" s="16">
        <v>0</v>
      </c>
      <c r="N10" s="16">
        <v>0</v>
      </c>
      <c r="O10" s="16">
        <v>0.7</v>
      </c>
      <c r="P10" s="17">
        <v>6.5000000000000002E-2</v>
      </c>
      <c r="Q10" s="17">
        <v>0.03</v>
      </c>
      <c r="R10" s="17">
        <v>0.05</v>
      </c>
      <c r="S10" s="17">
        <v>0</v>
      </c>
      <c r="T10" s="17">
        <v>0</v>
      </c>
      <c r="U10" s="17">
        <v>0.155</v>
      </c>
    </row>
    <row r="11" spans="1:21" x14ac:dyDescent="0.45">
      <c r="A11" t="s">
        <v>102</v>
      </c>
      <c r="B11" t="s">
        <v>1</v>
      </c>
      <c r="C11" t="s">
        <v>41</v>
      </c>
      <c r="D11" s="12">
        <v>0.05</v>
      </c>
      <c r="H11" s="13" t="s">
        <v>100</v>
      </c>
      <c r="I11" s="16">
        <v>0</v>
      </c>
      <c r="J11" s="17">
        <v>0</v>
      </c>
      <c r="K11" s="17">
        <v>1</v>
      </c>
      <c r="L11" s="17">
        <v>0</v>
      </c>
      <c r="M11" s="16">
        <v>0</v>
      </c>
      <c r="N11" s="16">
        <v>0</v>
      </c>
      <c r="O11" s="16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</row>
    <row r="12" spans="1:21" x14ac:dyDescent="0.45">
      <c r="A12" t="s">
        <v>67</v>
      </c>
      <c r="B12" t="s">
        <v>1</v>
      </c>
      <c r="C12" t="s">
        <v>41</v>
      </c>
      <c r="D12" s="12">
        <v>0.05</v>
      </c>
      <c r="H12" s="13" t="s">
        <v>129</v>
      </c>
      <c r="I12" s="16">
        <v>0</v>
      </c>
      <c r="J12" s="16">
        <v>0</v>
      </c>
      <c r="K12" s="16">
        <v>0</v>
      </c>
      <c r="L12" s="17">
        <v>1</v>
      </c>
      <c r="M12" s="16">
        <v>0</v>
      </c>
      <c r="N12" s="16">
        <v>0</v>
      </c>
      <c r="O12" s="16">
        <v>0</v>
      </c>
      <c r="P12" s="16">
        <v>1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</row>
    <row r="13" spans="1:21" x14ac:dyDescent="0.45">
      <c r="A13" t="s">
        <v>36</v>
      </c>
      <c r="B13" t="s">
        <v>1</v>
      </c>
      <c r="C13" t="s">
        <v>33</v>
      </c>
      <c r="D13" s="12">
        <v>0.3</v>
      </c>
      <c r="H13" s="13" t="s">
        <v>32</v>
      </c>
      <c r="I13" s="14">
        <v>1</v>
      </c>
      <c r="J13" s="14">
        <v>0</v>
      </c>
      <c r="K13" s="14">
        <v>0</v>
      </c>
      <c r="L13" s="14">
        <v>0</v>
      </c>
      <c r="M13" s="16">
        <v>0</v>
      </c>
      <c r="N13" s="16">
        <v>0</v>
      </c>
      <c r="O13" s="14">
        <v>0.59299999999999997</v>
      </c>
      <c r="P13" s="14">
        <v>0.216</v>
      </c>
      <c r="Q13" s="14">
        <v>0.03</v>
      </c>
      <c r="R13" s="14">
        <v>6.0999999999999999E-2</v>
      </c>
      <c r="S13" s="14">
        <v>0</v>
      </c>
      <c r="T13" s="14">
        <v>0</v>
      </c>
      <c r="U13" s="14">
        <v>0.1</v>
      </c>
    </row>
    <row r="14" spans="1:21" x14ac:dyDescent="0.45">
      <c r="A14" s="20" t="s">
        <v>98</v>
      </c>
      <c r="B14" t="s">
        <v>1</v>
      </c>
      <c r="C14" t="s">
        <v>30</v>
      </c>
      <c r="D14" s="12">
        <v>0.25</v>
      </c>
      <c r="H14" s="13" t="s">
        <v>132</v>
      </c>
      <c r="I14" s="16">
        <v>0</v>
      </c>
      <c r="J14" s="16">
        <v>1</v>
      </c>
      <c r="K14" s="16">
        <v>0</v>
      </c>
      <c r="L14" s="17">
        <v>0</v>
      </c>
      <c r="M14" s="17">
        <v>0</v>
      </c>
      <c r="N14" s="17">
        <v>0</v>
      </c>
      <c r="O14" s="16">
        <v>0</v>
      </c>
      <c r="P14" s="16">
        <v>1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</row>
    <row r="15" spans="1:21" x14ac:dyDescent="0.45">
      <c r="A15" t="s">
        <v>68</v>
      </c>
      <c r="B15" t="s">
        <v>1</v>
      </c>
      <c r="C15" t="s">
        <v>39</v>
      </c>
      <c r="D15" s="12">
        <v>0.2</v>
      </c>
      <c r="H15" s="13" t="s">
        <v>74</v>
      </c>
      <c r="I15" s="14">
        <v>1</v>
      </c>
      <c r="J15" s="14">
        <v>0</v>
      </c>
      <c r="K15" s="14">
        <v>0</v>
      </c>
      <c r="L15" s="14">
        <v>0</v>
      </c>
      <c r="M15" s="16">
        <v>0</v>
      </c>
      <c r="N15" s="16">
        <v>0</v>
      </c>
      <c r="O15" s="14">
        <v>0</v>
      </c>
      <c r="P15" s="14">
        <v>1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</row>
    <row r="16" spans="1:21" x14ac:dyDescent="0.45">
      <c r="A16" t="s">
        <v>131</v>
      </c>
      <c r="B16" t="s">
        <v>1</v>
      </c>
      <c r="C16" t="s">
        <v>84</v>
      </c>
      <c r="D16" s="12">
        <v>0.12</v>
      </c>
      <c r="H16" s="13" t="s">
        <v>90</v>
      </c>
      <c r="I16" s="17">
        <v>0</v>
      </c>
      <c r="J16" s="17">
        <v>1</v>
      </c>
      <c r="K16" s="17">
        <v>0</v>
      </c>
      <c r="L16" s="17">
        <v>0</v>
      </c>
      <c r="M16" s="16">
        <v>0</v>
      </c>
      <c r="N16" s="16">
        <v>0</v>
      </c>
      <c r="O16" s="17">
        <v>0</v>
      </c>
      <c r="P16" s="17">
        <v>1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</row>
    <row r="17" spans="1:21" x14ac:dyDescent="0.45">
      <c r="A17" t="s">
        <v>103</v>
      </c>
      <c r="B17" t="s">
        <v>1</v>
      </c>
      <c r="C17" t="s">
        <v>35</v>
      </c>
      <c r="D17" s="12">
        <v>0.14000000000000001</v>
      </c>
      <c r="H17" s="13" t="s">
        <v>71</v>
      </c>
      <c r="I17" s="14">
        <v>1</v>
      </c>
      <c r="J17" s="14">
        <v>0</v>
      </c>
      <c r="K17" s="14">
        <v>0</v>
      </c>
      <c r="L17" s="14">
        <v>0</v>
      </c>
      <c r="M17" s="16">
        <v>0</v>
      </c>
      <c r="N17" s="16">
        <v>0</v>
      </c>
      <c r="O17" s="14">
        <v>0</v>
      </c>
      <c r="P17" s="14">
        <v>0.44</v>
      </c>
      <c r="Q17" s="14">
        <v>0.20599999999999999</v>
      </c>
      <c r="R17" s="14">
        <v>0.35399999999999998</v>
      </c>
      <c r="S17" s="14">
        <v>0</v>
      </c>
      <c r="T17" s="14">
        <v>0</v>
      </c>
      <c r="U17" s="14">
        <v>0</v>
      </c>
    </row>
    <row r="18" spans="1:21" x14ac:dyDescent="0.45">
      <c r="A18" t="s">
        <v>38</v>
      </c>
      <c r="B18" t="s">
        <v>1</v>
      </c>
      <c r="C18" t="s">
        <v>39</v>
      </c>
      <c r="D18" s="12">
        <v>0.5</v>
      </c>
      <c r="H18" s="13" t="s">
        <v>97</v>
      </c>
      <c r="I18" s="16">
        <v>1</v>
      </c>
      <c r="J18" s="16">
        <v>0</v>
      </c>
      <c r="K18" s="16">
        <v>0</v>
      </c>
      <c r="L18" s="17">
        <v>0</v>
      </c>
      <c r="M18" s="16">
        <v>0</v>
      </c>
      <c r="N18" s="16">
        <v>0</v>
      </c>
      <c r="O18" s="16">
        <v>0</v>
      </c>
      <c r="P18" s="16">
        <v>1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</row>
    <row r="19" spans="1:21" x14ac:dyDescent="0.45">
      <c r="A19" t="s">
        <v>64</v>
      </c>
      <c r="B19" t="s">
        <v>65</v>
      </c>
      <c r="C19" t="s">
        <v>66</v>
      </c>
      <c r="D19" s="12">
        <v>0.12</v>
      </c>
      <c r="H19" s="15" t="s">
        <v>99</v>
      </c>
      <c r="I19" s="16">
        <v>1</v>
      </c>
      <c r="J19" s="16">
        <v>0</v>
      </c>
      <c r="K19" s="16">
        <v>0</v>
      </c>
      <c r="L19" s="17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1</v>
      </c>
      <c r="T19" s="16">
        <v>0</v>
      </c>
      <c r="U19" s="16">
        <v>0</v>
      </c>
    </row>
    <row r="20" spans="1:21" x14ac:dyDescent="0.45">
      <c r="A20" t="s">
        <v>40</v>
      </c>
      <c r="B20" t="s">
        <v>23</v>
      </c>
      <c r="C20" t="s">
        <v>41</v>
      </c>
      <c r="D20" s="12">
        <v>7.0000000000000007E-2</v>
      </c>
      <c r="H20" s="15" t="s">
        <v>34</v>
      </c>
      <c r="I20" s="14">
        <v>1</v>
      </c>
      <c r="J20" s="14">
        <v>0</v>
      </c>
      <c r="K20" s="14">
        <v>0</v>
      </c>
      <c r="L20" s="14">
        <v>0</v>
      </c>
      <c r="M20" s="16">
        <v>0</v>
      </c>
      <c r="N20" s="16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0.95</v>
      </c>
      <c r="U20" s="14">
        <v>0.05</v>
      </c>
    </row>
    <row r="21" spans="1:21" x14ac:dyDescent="0.45">
      <c r="A21" t="s">
        <v>69</v>
      </c>
      <c r="B21" t="s">
        <v>1</v>
      </c>
      <c r="C21" t="s">
        <v>39</v>
      </c>
      <c r="D21" s="12">
        <v>0.03</v>
      </c>
      <c r="H21" s="15" t="s">
        <v>127</v>
      </c>
      <c r="I21" s="16">
        <v>0.6</v>
      </c>
      <c r="J21" s="16">
        <v>0.4</v>
      </c>
      <c r="K21" s="16">
        <v>0</v>
      </c>
      <c r="L21" s="17">
        <v>0</v>
      </c>
      <c r="M21" s="17">
        <v>0</v>
      </c>
      <c r="N21" s="17">
        <v>0</v>
      </c>
      <c r="O21" s="16">
        <v>0</v>
      </c>
      <c r="P21" s="16">
        <v>1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</row>
    <row r="22" spans="1:21" x14ac:dyDescent="0.45">
      <c r="A22" t="s">
        <v>42</v>
      </c>
      <c r="B22" t="s">
        <v>0</v>
      </c>
      <c r="C22" t="s">
        <v>35</v>
      </c>
      <c r="D22" s="12">
        <v>0.39</v>
      </c>
      <c r="H22" s="15" t="s">
        <v>101</v>
      </c>
      <c r="I22" s="16">
        <v>1</v>
      </c>
      <c r="J22" s="16">
        <v>0</v>
      </c>
      <c r="K22" s="16">
        <v>0</v>
      </c>
      <c r="L22" s="17">
        <v>0</v>
      </c>
      <c r="M22" s="16">
        <v>0</v>
      </c>
      <c r="N22" s="16">
        <v>0</v>
      </c>
      <c r="O22" s="16">
        <v>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</row>
    <row r="23" spans="1:21" x14ac:dyDescent="0.45">
      <c r="A23" t="s">
        <v>43</v>
      </c>
      <c r="B23" t="s">
        <v>0</v>
      </c>
      <c r="C23" t="s">
        <v>39</v>
      </c>
      <c r="D23" s="12">
        <v>0.06</v>
      </c>
      <c r="H23" s="13" t="s">
        <v>102</v>
      </c>
      <c r="I23" s="14">
        <v>1</v>
      </c>
      <c r="J23" s="14">
        <v>0</v>
      </c>
      <c r="K23" s="14">
        <v>0</v>
      </c>
      <c r="L23" s="14">
        <v>0</v>
      </c>
      <c r="M23" s="16">
        <v>0</v>
      </c>
      <c r="N23" s="16">
        <v>0</v>
      </c>
      <c r="O23" s="14">
        <v>0</v>
      </c>
      <c r="P23" s="14">
        <v>1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</row>
    <row r="24" spans="1:21" x14ac:dyDescent="0.45">
      <c r="A24" s="21" t="s">
        <v>72</v>
      </c>
      <c r="B24" t="s">
        <v>0</v>
      </c>
      <c r="C24" t="s">
        <v>39</v>
      </c>
      <c r="D24" s="12">
        <v>0.05</v>
      </c>
      <c r="H24" s="13" t="s">
        <v>67</v>
      </c>
      <c r="I24" s="14">
        <v>1</v>
      </c>
      <c r="J24" s="14">
        <v>0</v>
      </c>
      <c r="K24" s="14">
        <v>0</v>
      </c>
      <c r="L24" s="14">
        <v>0</v>
      </c>
      <c r="M24" s="16">
        <v>0</v>
      </c>
      <c r="N24" s="16">
        <v>0</v>
      </c>
      <c r="O24" s="14">
        <v>0</v>
      </c>
      <c r="P24" s="14">
        <v>1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</row>
    <row r="25" spans="1:21" x14ac:dyDescent="0.45">
      <c r="A25" t="s">
        <v>44</v>
      </c>
      <c r="B25" t="s">
        <v>0</v>
      </c>
      <c r="C25" t="s">
        <v>41</v>
      </c>
      <c r="D25" s="12">
        <v>7.0000000000000007E-2</v>
      </c>
      <c r="H25" s="13" t="s">
        <v>94</v>
      </c>
      <c r="I25" s="16">
        <v>1</v>
      </c>
      <c r="J25" s="17">
        <v>0</v>
      </c>
      <c r="K25" s="17">
        <v>0</v>
      </c>
      <c r="L25" s="17">
        <v>0</v>
      </c>
      <c r="M25" s="16">
        <v>0</v>
      </c>
      <c r="N25" s="16">
        <v>0</v>
      </c>
      <c r="O25" s="17">
        <v>0</v>
      </c>
      <c r="P25" s="17">
        <v>0</v>
      </c>
      <c r="Q25" s="17">
        <v>1</v>
      </c>
      <c r="R25" s="17">
        <v>0</v>
      </c>
      <c r="S25" s="17">
        <v>0</v>
      </c>
      <c r="T25" s="17">
        <v>0</v>
      </c>
      <c r="U25" s="17">
        <v>0</v>
      </c>
    </row>
    <row r="26" spans="1:21" x14ac:dyDescent="0.45">
      <c r="A26" t="s">
        <v>45</v>
      </c>
      <c r="B26" t="s">
        <v>1</v>
      </c>
      <c r="C26" t="s">
        <v>39</v>
      </c>
      <c r="D26" s="12">
        <v>0.1</v>
      </c>
      <c r="H26" s="13" t="s">
        <v>75</v>
      </c>
      <c r="I26" s="14">
        <v>1</v>
      </c>
      <c r="J26" s="14">
        <v>0</v>
      </c>
      <c r="K26" s="14">
        <v>0</v>
      </c>
      <c r="L26" s="14">
        <v>0</v>
      </c>
      <c r="M26" s="16">
        <v>0</v>
      </c>
      <c r="N26" s="16">
        <v>0</v>
      </c>
      <c r="O26" s="14">
        <v>0</v>
      </c>
      <c r="P26" s="14">
        <v>1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</row>
    <row r="27" spans="1:21" x14ac:dyDescent="0.45">
      <c r="A27" t="s">
        <v>119</v>
      </c>
      <c r="B27" t="s">
        <v>1</v>
      </c>
      <c r="C27" t="s">
        <v>33</v>
      </c>
      <c r="D27" s="12">
        <v>0.4</v>
      </c>
      <c r="H27" s="13" t="s">
        <v>104</v>
      </c>
      <c r="I27" s="14">
        <v>0</v>
      </c>
      <c r="J27" s="17">
        <v>1</v>
      </c>
      <c r="K27" s="14">
        <v>0</v>
      </c>
      <c r="L27" s="14">
        <v>0</v>
      </c>
      <c r="M27" s="16">
        <v>0</v>
      </c>
      <c r="N27" s="16">
        <v>0</v>
      </c>
      <c r="O27" s="14">
        <v>0</v>
      </c>
      <c r="P27" s="14">
        <v>1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</row>
    <row r="28" spans="1:21" x14ac:dyDescent="0.45">
      <c r="A28" t="s">
        <v>46</v>
      </c>
      <c r="B28" t="s">
        <v>1</v>
      </c>
      <c r="C28" t="s">
        <v>30</v>
      </c>
      <c r="D28" s="12">
        <v>0.18</v>
      </c>
      <c r="H28" s="13" t="s">
        <v>105</v>
      </c>
      <c r="I28" s="14">
        <v>0</v>
      </c>
      <c r="J28" s="17">
        <v>1</v>
      </c>
      <c r="K28" s="14">
        <v>0</v>
      </c>
      <c r="L28" s="14">
        <v>0</v>
      </c>
      <c r="M28" s="16">
        <v>0</v>
      </c>
      <c r="N28" s="16">
        <v>0</v>
      </c>
      <c r="O28" s="14">
        <v>0</v>
      </c>
      <c r="P28" s="14">
        <v>1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</row>
    <row r="29" spans="1:21" x14ac:dyDescent="0.45">
      <c r="A29" t="s">
        <v>47</v>
      </c>
      <c r="B29" t="s">
        <v>1</v>
      </c>
      <c r="C29" t="s">
        <v>33</v>
      </c>
      <c r="D29" s="12">
        <v>0.4</v>
      </c>
      <c r="H29" s="15" t="s">
        <v>117</v>
      </c>
      <c r="I29" s="14">
        <v>0</v>
      </c>
      <c r="J29" s="17">
        <v>1</v>
      </c>
      <c r="K29" s="14">
        <v>0</v>
      </c>
      <c r="L29" s="14">
        <v>0</v>
      </c>
      <c r="M29" s="16">
        <v>0</v>
      </c>
      <c r="N29" s="16">
        <v>0</v>
      </c>
      <c r="O29" s="14">
        <v>0</v>
      </c>
      <c r="P29" s="14">
        <v>1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</row>
    <row r="30" spans="1:21" x14ac:dyDescent="0.45">
      <c r="H30" s="13" t="s">
        <v>107</v>
      </c>
      <c r="I30" s="14">
        <v>0</v>
      </c>
      <c r="J30" s="17">
        <v>1</v>
      </c>
      <c r="K30" s="14">
        <v>0</v>
      </c>
      <c r="L30" s="14">
        <v>0</v>
      </c>
      <c r="M30" s="16">
        <v>0</v>
      </c>
      <c r="N30" s="16">
        <v>0</v>
      </c>
      <c r="O30" s="14">
        <v>0</v>
      </c>
      <c r="P30" s="14">
        <v>1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</row>
    <row r="31" spans="1:21" x14ac:dyDescent="0.45">
      <c r="H31" s="15" t="s">
        <v>106</v>
      </c>
      <c r="I31" s="14">
        <v>0</v>
      </c>
      <c r="J31" s="17">
        <v>1</v>
      </c>
      <c r="K31" s="14">
        <v>0</v>
      </c>
      <c r="L31" s="14">
        <v>0</v>
      </c>
      <c r="M31" s="16">
        <v>0</v>
      </c>
      <c r="N31" s="16">
        <v>0</v>
      </c>
      <c r="O31" s="14">
        <v>0</v>
      </c>
      <c r="P31" s="14">
        <v>1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</row>
    <row r="32" spans="1:21" x14ac:dyDescent="0.45">
      <c r="H32" s="15" t="s">
        <v>118</v>
      </c>
      <c r="I32" s="14">
        <v>0</v>
      </c>
      <c r="J32" s="17">
        <v>1</v>
      </c>
      <c r="K32" s="14">
        <v>0</v>
      </c>
      <c r="L32" s="14">
        <v>0</v>
      </c>
      <c r="M32" s="16">
        <v>0</v>
      </c>
      <c r="N32" s="16">
        <v>0</v>
      </c>
      <c r="O32" s="14">
        <v>0</v>
      </c>
      <c r="P32" s="14">
        <v>1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</row>
    <row r="33" spans="8:21" x14ac:dyDescent="0.45">
      <c r="H33" s="15" t="s">
        <v>110</v>
      </c>
      <c r="I33" s="14">
        <v>0</v>
      </c>
      <c r="J33" s="17">
        <v>1</v>
      </c>
      <c r="K33" s="14">
        <v>0</v>
      </c>
      <c r="L33" s="14">
        <v>0</v>
      </c>
      <c r="M33" s="16">
        <v>0</v>
      </c>
      <c r="N33" s="16">
        <v>0</v>
      </c>
      <c r="O33" s="14">
        <v>0</v>
      </c>
      <c r="P33" s="14">
        <v>1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</row>
    <row r="34" spans="8:21" x14ac:dyDescent="0.45">
      <c r="H34" s="15" t="s">
        <v>109</v>
      </c>
      <c r="I34" s="14">
        <v>0</v>
      </c>
      <c r="J34" s="17">
        <v>1</v>
      </c>
      <c r="K34" s="14">
        <v>0</v>
      </c>
      <c r="L34" s="14">
        <v>0</v>
      </c>
      <c r="M34" s="16">
        <v>0</v>
      </c>
      <c r="N34" s="16">
        <v>0</v>
      </c>
      <c r="O34" s="14">
        <v>0</v>
      </c>
      <c r="P34" s="14">
        <v>1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</row>
    <row r="35" spans="8:21" x14ac:dyDescent="0.45">
      <c r="H35" s="15" t="s">
        <v>108</v>
      </c>
      <c r="I35" s="14">
        <v>0</v>
      </c>
      <c r="J35" s="17">
        <v>1</v>
      </c>
      <c r="K35" s="14">
        <v>0</v>
      </c>
      <c r="L35" s="14">
        <v>0</v>
      </c>
      <c r="M35" s="16">
        <v>0</v>
      </c>
      <c r="N35" s="16">
        <v>0</v>
      </c>
      <c r="O35" s="14">
        <v>0</v>
      </c>
      <c r="P35" s="14">
        <v>1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</row>
    <row r="36" spans="8:21" x14ac:dyDescent="0.45">
      <c r="H36" s="15" t="s">
        <v>113</v>
      </c>
      <c r="I36" s="14">
        <v>0</v>
      </c>
      <c r="J36" s="17">
        <v>1</v>
      </c>
      <c r="K36" s="14">
        <v>0</v>
      </c>
      <c r="L36" s="14">
        <v>0</v>
      </c>
      <c r="M36" s="16">
        <v>0</v>
      </c>
      <c r="N36" s="16">
        <v>0</v>
      </c>
      <c r="O36" s="14">
        <v>0</v>
      </c>
      <c r="P36" s="14">
        <v>1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</row>
    <row r="37" spans="8:21" x14ac:dyDescent="0.45">
      <c r="H37" s="15" t="s">
        <v>111</v>
      </c>
      <c r="I37" s="14">
        <v>0</v>
      </c>
      <c r="J37" s="17">
        <v>1</v>
      </c>
      <c r="K37" s="14">
        <v>0</v>
      </c>
      <c r="L37" s="14">
        <v>0</v>
      </c>
      <c r="M37" s="16">
        <v>0</v>
      </c>
      <c r="N37" s="16">
        <v>0</v>
      </c>
      <c r="O37" s="14">
        <v>0</v>
      </c>
      <c r="P37" s="14">
        <v>1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</row>
    <row r="38" spans="8:21" x14ac:dyDescent="0.45">
      <c r="H38" s="15" t="s">
        <v>114</v>
      </c>
      <c r="I38" s="14">
        <v>0</v>
      </c>
      <c r="J38" s="17">
        <v>1</v>
      </c>
      <c r="K38" s="14">
        <v>0</v>
      </c>
      <c r="L38" s="14">
        <v>0</v>
      </c>
      <c r="M38" s="16">
        <v>0</v>
      </c>
      <c r="N38" s="16">
        <v>0</v>
      </c>
      <c r="O38" s="14">
        <v>0</v>
      </c>
      <c r="P38" s="14">
        <v>1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</row>
    <row r="39" spans="8:21" x14ac:dyDescent="0.45">
      <c r="H39" s="15" t="s">
        <v>112</v>
      </c>
      <c r="I39" s="14">
        <v>0</v>
      </c>
      <c r="J39" s="17">
        <v>1</v>
      </c>
      <c r="K39" s="14">
        <v>0</v>
      </c>
      <c r="L39" s="14">
        <v>0</v>
      </c>
      <c r="M39" s="16">
        <v>0</v>
      </c>
      <c r="N39" s="16">
        <v>0</v>
      </c>
      <c r="O39" s="14">
        <v>0</v>
      </c>
      <c r="P39" s="14">
        <v>1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</row>
    <row r="40" spans="8:21" x14ac:dyDescent="0.45">
      <c r="H40" s="15" t="s">
        <v>116</v>
      </c>
      <c r="I40" s="14">
        <v>0</v>
      </c>
      <c r="J40" s="17">
        <v>1</v>
      </c>
      <c r="K40" s="14">
        <v>0</v>
      </c>
      <c r="L40" s="14">
        <v>0</v>
      </c>
      <c r="M40" s="16">
        <v>0</v>
      </c>
      <c r="N40" s="16">
        <v>0</v>
      </c>
      <c r="O40" s="14">
        <v>0</v>
      </c>
      <c r="P40" s="14">
        <v>1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</row>
    <row r="41" spans="8:21" x14ac:dyDescent="0.45">
      <c r="H41" s="15" t="s">
        <v>115</v>
      </c>
      <c r="I41" s="14">
        <v>0</v>
      </c>
      <c r="J41" s="17">
        <v>1</v>
      </c>
      <c r="K41" s="14">
        <v>0</v>
      </c>
      <c r="L41" s="14">
        <v>0</v>
      </c>
      <c r="M41" s="16">
        <v>0</v>
      </c>
      <c r="N41" s="16">
        <v>0</v>
      </c>
      <c r="O41" s="14">
        <v>0</v>
      </c>
      <c r="P41" s="14">
        <v>1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</row>
    <row r="42" spans="8:21" x14ac:dyDescent="0.45">
      <c r="H42" s="15" t="s">
        <v>98</v>
      </c>
      <c r="I42" s="16">
        <v>1</v>
      </c>
      <c r="J42" s="17">
        <v>0</v>
      </c>
      <c r="K42" s="17">
        <v>0</v>
      </c>
      <c r="L42" s="17">
        <v>0</v>
      </c>
      <c r="M42" s="16">
        <v>0</v>
      </c>
      <c r="N42" s="16">
        <v>0</v>
      </c>
      <c r="O42" s="16">
        <v>0.38</v>
      </c>
      <c r="P42" s="16">
        <v>0.39</v>
      </c>
      <c r="Q42" s="16">
        <v>0.23</v>
      </c>
      <c r="R42" s="16">
        <v>0</v>
      </c>
      <c r="S42" s="16">
        <v>0</v>
      </c>
      <c r="T42" s="16">
        <v>0</v>
      </c>
      <c r="U42" s="16">
        <v>0</v>
      </c>
    </row>
    <row r="43" spans="8:21" x14ac:dyDescent="0.45">
      <c r="H43" s="15" t="s">
        <v>68</v>
      </c>
      <c r="I43" s="14">
        <v>1</v>
      </c>
      <c r="J43" s="14">
        <v>0</v>
      </c>
      <c r="K43" s="14">
        <v>0</v>
      </c>
      <c r="L43" s="14">
        <v>0</v>
      </c>
      <c r="M43" s="16">
        <v>0</v>
      </c>
      <c r="N43" s="16">
        <v>0</v>
      </c>
      <c r="O43" s="14">
        <v>0.95</v>
      </c>
      <c r="P43" s="14">
        <v>0</v>
      </c>
      <c r="Q43" s="14">
        <v>0</v>
      </c>
      <c r="R43" s="14">
        <v>0.05</v>
      </c>
      <c r="S43" s="14">
        <v>0</v>
      </c>
      <c r="T43" s="14">
        <v>0</v>
      </c>
      <c r="U43" s="14">
        <v>0</v>
      </c>
    </row>
    <row r="44" spans="8:21" x14ac:dyDescent="0.45">
      <c r="H44" s="15" t="s">
        <v>131</v>
      </c>
      <c r="I44" s="16">
        <v>1</v>
      </c>
      <c r="J44" s="16">
        <v>0</v>
      </c>
      <c r="K44" s="16">
        <v>0</v>
      </c>
      <c r="L44" s="17">
        <v>0</v>
      </c>
      <c r="M44" s="17">
        <v>0</v>
      </c>
      <c r="N44" s="17">
        <v>0</v>
      </c>
      <c r="O44" s="16">
        <v>0</v>
      </c>
      <c r="P44" s="16">
        <v>0</v>
      </c>
      <c r="Q44" s="16">
        <v>1</v>
      </c>
      <c r="R44" s="16">
        <v>0</v>
      </c>
      <c r="S44" s="16">
        <v>0</v>
      </c>
      <c r="T44" s="16">
        <v>0</v>
      </c>
      <c r="U44" s="16">
        <v>0</v>
      </c>
    </row>
    <row r="45" spans="8:21" x14ac:dyDescent="0.45">
      <c r="H45" s="13" t="s">
        <v>73</v>
      </c>
      <c r="I45" s="14">
        <v>1</v>
      </c>
      <c r="J45" s="14">
        <v>0</v>
      </c>
      <c r="K45" s="14">
        <v>0</v>
      </c>
      <c r="L45" s="14">
        <v>0</v>
      </c>
      <c r="M45" s="16">
        <v>0</v>
      </c>
      <c r="N45" s="16">
        <v>0</v>
      </c>
      <c r="O45" s="14">
        <v>0</v>
      </c>
      <c r="P45" s="14">
        <v>1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</row>
    <row r="46" spans="8:21" x14ac:dyDescent="0.45">
      <c r="H46" s="13" t="s">
        <v>103</v>
      </c>
      <c r="I46" s="14">
        <v>1</v>
      </c>
      <c r="J46" s="14">
        <v>0</v>
      </c>
      <c r="K46" s="14">
        <v>0</v>
      </c>
      <c r="L46" s="14">
        <v>0</v>
      </c>
      <c r="M46" s="16">
        <v>0</v>
      </c>
      <c r="N46" s="16">
        <v>0</v>
      </c>
      <c r="O46" s="14">
        <v>0</v>
      </c>
      <c r="P46" s="14">
        <v>0.01</v>
      </c>
      <c r="Q46" s="14">
        <v>0</v>
      </c>
      <c r="R46" s="14">
        <v>0</v>
      </c>
      <c r="S46" s="14">
        <v>0.31</v>
      </c>
      <c r="T46" s="14">
        <v>0.17</v>
      </c>
      <c r="U46" s="14">
        <v>0.51</v>
      </c>
    </row>
    <row r="47" spans="8:21" x14ac:dyDescent="0.45">
      <c r="H47" s="13" t="s">
        <v>86</v>
      </c>
      <c r="I47" s="17">
        <v>0.22</v>
      </c>
      <c r="J47" s="14">
        <v>0</v>
      </c>
      <c r="K47" s="14">
        <v>0</v>
      </c>
      <c r="L47" s="17">
        <v>0.78</v>
      </c>
      <c r="M47" s="16">
        <v>0</v>
      </c>
      <c r="N47" s="16">
        <v>0</v>
      </c>
      <c r="O47" s="14">
        <v>0</v>
      </c>
      <c r="P47" s="14">
        <v>1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</row>
    <row r="48" spans="8:21" x14ac:dyDescent="0.45">
      <c r="H48" s="13" t="s">
        <v>76</v>
      </c>
      <c r="I48" s="14">
        <v>1</v>
      </c>
      <c r="J48" s="14">
        <v>0</v>
      </c>
      <c r="K48" s="14">
        <v>0</v>
      </c>
      <c r="L48" s="14">
        <v>0</v>
      </c>
      <c r="M48" s="16">
        <v>0</v>
      </c>
      <c r="N48" s="16">
        <v>0</v>
      </c>
      <c r="O48" s="14">
        <v>1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</row>
    <row r="49" spans="8:21" x14ac:dyDescent="0.45">
      <c r="H49" s="13" t="s">
        <v>121</v>
      </c>
      <c r="I49" s="16">
        <v>1</v>
      </c>
      <c r="J49" s="16">
        <v>0</v>
      </c>
      <c r="K49" s="16">
        <v>0</v>
      </c>
      <c r="L49" s="17">
        <v>1</v>
      </c>
      <c r="M49" s="16">
        <v>0</v>
      </c>
      <c r="N49" s="16">
        <v>0</v>
      </c>
      <c r="O49" s="16">
        <v>0</v>
      </c>
      <c r="P49" s="16">
        <v>1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</row>
    <row r="50" spans="8:21" x14ac:dyDescent="0.45">
      <c r="H50" s="13" t="s">
        <v>122</v>
      </c>
      <c r="I50" s="16">
        <v>0.91200000000000003</v>
      </c>
      <c r="J50" s="16">
        <v>3.15E-2</v>
      </c>
      <c r="K50" s="16">
        <v>0</v>
      </c>
      <c r="L50" s="17">
        <v>0.06</v>
      </c>
      <c r="M50" s="16">
        <v>0</v>
      </c>
      <c r="N50" s="16">
        <v>0</v>
      </c>
      <c r="O50" s="16">
        <v>0.55000000000000004</v>
      </c>
      <c r="P50" s="16">
        <v>0.2</v>
      </c>
      <c r="Q50" s="16">
        <v>0.1</v>
      </c>
      <c r="R50" s="16">
        <v>0.05</v>
      </c>
      <c r="S50" s="16">
        <v>0.05</v>
      </c>
      <c r="T50" s="16">
        <v>0</v>
      </c>
      <c r="U50" s="16">
        <v>0.05</v>
      </c>
    </row>
    <row r="51" spans="8:21" x14ac:dyDescent="0.45">
      <c r="H51" s="13" t="s">
        <v>77</v>
      </c>
      <c r="I51" s="14">
        <v>1</v>
      </c>
      <c r="J51" s="14">
        <v>0</v>
      </c>
      <c r="K51" s="14">
        <v>0</v>
      </c>
      <c r="L51" s="14">
        <v>0</v>
      </c>
      <c r="M51" s="16">
        <v>0</v>
      </c>
      <c r="N51" s="16">
        <v>0</v>
      </c>
      <c r="O51" s="14">
        <v>1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</row>
    <row r="52" spans="8:21" x14ac:dyDescent="0.45">
      <c r="H52" s="13" t="s">
        <v>11</v>
      </c>
      <c r="I52" s="16">
        <v>0</v>
      </c>
      <c r="J52" s="16">
        <v>0</v>
      </c>
      <c r="K52" s="16">
        <v>0</v>
      </c>
      <c r="L52" s="17">
        <v>1</v>
      </c>
      <c r="M52" s="16">
        <v>0</v>
      </c>
      <c r="N52" s="16">
        <v>0</v>
      </c>
      <c r="O52" s="16">
        <v>0</v>
      </c>
      <c r="P52" s="16">
        <v>1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</row>
    <row r="53" spans="8:21" x14ac:dyDescent="0.45">
      <c r="H53" s="13" t="s">
        <v>88</v>
      </c>
      <c r="I53" s="17">
        <v>1</v>
      </c>
      <c r="J53" s="17">
        <v>0</v>
      </c>
      <c r="K53" s="17">
        <v>0</v>
      </c>
      <c r="L53" s="17">
        <v>0</v>
      </c>
      <c r="M53" s="16">
        <v>0</v>
      </c>
      <c r="N53" s="16">
        <v>0</v>
      </c>
      <c r="O53" s="17">
        <v>0.63</v>
      </c>
      <c r="P53" s="17">
        <v>0.2</v>
      </c>
      <c r="Q53" s="17">
        <v>0.05</v>
      </c>
      <c r="R53" s="17">
        <v>0.12</v>
      </c>
      <c r="S53" s="14">
        <v>0</v>
      </c>
      <c r="T53" s="14">
        <v>0</v>
      </c>
      <c r="U53" s="14">
        <v>0</v>
      </c>
    </row>
    <row r="54" spans="8:21" x14ac:dyDescent="0.45">
      <c r="H54" s="13" t="s">
        <v>78</v>
      </c>
      <c r="I54" s="14">
        <v>1</v>
      </c>
      <c r="J54" s="14">
        <v>0</v>
      </c>
      <c r="K54" s="14">
        <v>0</v>
      </c>
      <c r="L54" s="14">
        <v>0</v>
      </c>
      <c r="M54" s="16">
        <v>0</v>
      </c>
      <c r="N54" s="16">
        <v>0</v>
      </c>
      <c r="O54" s="14">
        <v>0</v>
      </c>
      <c r="P54" s="14">
        <v>1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</row>
    <row r="55" spans="8:21" x14ac:dyDescent="0.45">
      <c r="H55" s="13" t="s">
        <v>85</v>
      </c>
      <c r="I55" s="17">
        <v>0.8</v>
      </c>
      <c r="J55" s="17">
        <v>0.18</v>
      </c>
      <c r="K55" s="14">
        <v>0.02</v>
      </c>
      <c r="L55" s="14">
        <v>0</v>
      </c>
      <c r="M55" s="16">
        <v>0</v>
      </c>
      <c r="N55" s="16">
        <v>0</v>
      </c>
      <c r="O55" s="14">
        <v>0.4</v>
      </c>
      <c r="P55" s="14">
        <v>0.47</v>
      </c>
      <c r="Q55" s="14">
        <v>0.03</v>
      </c>
      <c r="R55" s="14">
        <v>0.1</v>
      </c>
      <c r="S55" s="14">
        <v>0</v>
      </c>
      <c r="T55" s="14">
        <v>0</v>
      </c>
      <c r="U55" s="14">
        <v>0</v>
      </c>
    </row>
    <row r="56" spans="8:21" x14ac:dyDescent="0.45">
      <c r="H56" s="13" t="s">
        <v>64</v>
      </c>
      <c r="I56" s="14">
        <v>0</v>
      </c>
      <c r="J56" s="14">
        <v>0</v>
      </c>
      <c r="K56" s="16">
        <v>1</v>
      </c>
      <c r="L56" s="17">
        <v>0</v>
      </c>
      <c r="M56" s="16">
        <v>0</v>
      </c>
      <c r="N56" s="16">
        <v>0</v>
      </c>
      <c r="O56" s="16">
        <v>1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</row>
    <row r="57" spans="8:21" x14ac:dyDescent="0.45">
      <c r="H57" s="13" t="s">
        <v>40</v>
      </c>
      <c r="I57" s="17">
        <v>0</v>
      </c>
      <c r="J57" s="17">
        <v>0</v>
      </c>
      <c r="K57" s="17">
        <v>0</v>
      </c>
      <c r="L57" s="17">
        <v>1</v>
      </c>
      <c r="M57" s="16">
        <v>0</v>
      </c>
      <c r="N57" s="16">
        <v>0</v>
      </c>
      <c r="O57" s="17">
        <v>0</v>
      </c>
      <c r="P57" s="7">
        <v>1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</row>
    <row r="58" spans="8:21" x14ac:dyDescent="0.45">
      <c r="H58" s="13" t="s">
        <v>69</v>
      </c>
      <c r="I58" s="14">
        <v>1</v>
      </c>
      <c r="J58" s="14">
        <v>0</v>
      </c>
      <c r="K58" s="14">
        <v>0</v>
      </c>
      <c r="L58" s="14">
        <v>0</v>
      </c>
      <c r="M58" s="16">
        <v>0</v>
      </c>
      <c r="N58" s="16">
        <v>0</v>
      </c>
      <c r="O58" s="14">
        <v>1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</row>
    <row r="59" spans="8:21" x14ac:dyDescent="0.45">
      <c r="H59" s="15" t="s">
        <v>93</v>
      </c>
      <c r="I59" s="16">
        <v>1</v>
      </c>
      <c r="J59" s="17">
        <v>0</v>
      </c>
      <c r="K59" s="17">
        <v>0</v>
      </c>
      <c r="L59" s="17">
        <v>0</v>
      </c>
      <c r="M59" s="16">
        <v>0</v>
      </c>
      <c r="N59" s="16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6">
        <v>1</v>
      </c>
    </row>
    <row r="60" spans="8:21" x14ac:dyDescent="0.45">
      <c r="H60" s="15" t="s">
        <v>42</v>
      </c>
      <c r="I60" s="17">
        <v>0</v>
      </c>
      <c r="J60" s="17">
        <v>1</v>
      </c>
      <c r="K60" s="17">
        <v>0</v>
      </c>
      <c r="L60" s="17">
        <v>0</v>
      </c>
      <c r="M60" s="16">
        <v>0</v>
      </c>
      <c r="N60" s="16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7">
        <v>1</v>
      </c>
      <c r="U60" s="17">
        <v>0</v>
      </c>
    </row>
    <row r="61" spans="8:21" x14ac:dyDescent="0.45">
      <c r="H61" s="15" t="s">
        <v>43</v>
      </c>
      <c r="I61" s="17">
        <v>0</v>
      </c>
      <c r="J61" s="17">
        <v>1</v>
      </c>
      <c r="K61" s="17">
        <v>0</v>
      </c>
      <c r="L61" s="17">
        <v>0</v>
      </c>
      <c r="M61" s="16">
        <v>0</v>
      </c>
      <c r="N61" s="16">
        <v>0</v>
      </c>
      <c r="O61" s="7">
        <v>1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</row>
    <row r="62" spans="8:21" x14ac:dyDescent="0.45">
      <c r="H62" s="15" t="s">
        <v>72</v>
      </c>
      <c r="I62" s="17">
        <v>0</v>
      </c>
      <c r="J62" s="17">
        <v>1</v>
      </c>
      <c r="K62" s="17">
        <v>0</v>
      </c>
      <c r="L62" s="17">
        <v>0</v>
      </c>
      <c r="M62" s="16">
        <v>0</v>
      </c>
      <c r="N62" s="16">
        <v>0</v>
      </c>
      <c r="O62" s="7">
        <v>1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</row>
    <row r="63" spans="8:21" x14ac:dyDescent="0.45">
      <c r="H63" s="15" t="s">
        <v>44</v>
      </c>
      <c r="I63" s="17">
        <v>0</v>
      </c>
      <c r="J63" s="17">
        <v>1</v>
      </c>
      <c r="K63" s="17">
        <v>0</v>
      </c>
      <c r="L63" s="17">
        <v>0</v>
      </c>
      <c r="M63" s="16">
        <v>0</v>
      </c>
      <c r="N63" s="16">
        <v>0</v>
      </c>
      <c r="O63" s="17">
        <v>0</v>
      </c>
      <c r="P63" s="16">
        <v>1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</row>
    <row r="64" spans="8:21" x14ac:dyDescent="0.45">
      <c r="H64" s="15" t="s">
        <v>45</v>
      </c>
      <c r="I64" s="14">
        <v>1</v>
      </c>
      <c r="J64" s="14">
        <v>0</v>
      </c>
      <c r="K64" s="14">
        <v>0</v>
      </c>
      <c r="L64" s="14">
        <v>0</v>
      </c>
      <c r="M64" s="16">
        <v>0</v>
      </c>
      <c r="N64" s="16">
        <v>0</v>
      </c>
      <c r="O64" s="14">
        <v>0.91</v>
      </c>
      <c r="P64" s="14">
        <v>1.4999999999999999E-2</v>
      </c>
      <c r="Q64" s="14">
        <v>0</v>
      </c>
      <c r="R64" s="14">
        <v>7.4999999999999997E-2</v>
      </c>
      <c r="S64" s="14">
        <v>0</v>
      </c>
      <c r="T64" s="14">
        <v>0</v>
      </c>
      <c r="U64" s="14">
        <v>0</v>
      </c>
    </row>
    <row r="65" spans="8:21" x14ac:dyDescent="0.45">
      <c r="H65" s="15" t="s">
        <v>119</v>
      </c>
      <c r="I65" s="16">
        <v>1</v>
      </c>
      <c r="J65" s="16">
        <v>0</v>
      </c>
      <c r="K65" s="16">
        <v>0</v>
      </c>
      <c r="L65" s="17">
        <v>0</v>
      </c>
      <c r="M65" s="16">
        <v>0</v>
      </c>
      <c r="N65" s="16">
        <v>0</v>
      </c>
      <c r="O65" s="16">
        <v>0</v>
      </c>
      <c r="P65" s="16">
        <v>1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</row>
    <row r="66" spans="8:21" x14ac:dyDescent="0.45">
      <c r="H66" s="15" t="s">
        <v>46</v>
      </c>
      <c r="I66" s="14">
        <v>1</v>
      </c>
      <c r="J66" s="14">
        <v>0</v>
      </c>
      <c r="K66" s="14">
        <v>0</v>
      </c>
      <c r="L66" s="14">
        <v>0</v>
      </c>
      <c r="M66" s="16">
        <v>0</v>
      </c>
      <c r="N66" s="16">
        <v>0</v>
      </c>
      <c r="O66" s="14">
        <v>0.63</v>
      </c>
      <c r="P66" s="14">
        <v>0.14199999999999999</v>
      </c>
      <c r="Q66" s="14">
        <v>7.3999999999999996E-2</v>
      </c>
      <c r="R66" s="14">
        <v>0.154</v>
      </c>
      <c r="S66" s="14">
        <v>0</v>
      </c>
      <c r="T66" s="14">
        <v>0</v>
      </c>
      <c r="U66" s="14">
        <v>0</v>
      </c>
    </row>
    <row r="67" spans="8:21" x14ac:dyDescent="0.45">
      <c r="H67" s="15" t="s">
        <v>47</v>
      </c>
      <c r="I67" s="14">
        <v>1</v>
      </c>
      <c r="J67" s="14">
        <v>0</v>
      </c>
      <c r="K67" s="14">
        <v>0</v>
      </c>
      <c r="L67" s="14">
        <v>0</v>
      </c>
      <c r="M67" s="16">
        <v>0</v>
      </c>
      <c r="N67" s="16">
        <v>0</v>
      </c>
      <c r="O67" s="14">
        <v>0.71399999999999997</v>
      </c>
      <c r="P67" s="14">
        <v>0.1</v>
      </c>
      <c r="Q67" s="14">
        <v>1.4999999999999999E-2</v>
      </c>
      <c r="R67" s="14">
        <v>0.17100000000000001</v>
      </c>
      <c r="S67" s="14">
        <v>0</v>
      </c>
      <c r="T67" s="14">
        <v>0</v>
      </c>
      <c r="U67" s="14">
        <v>0</v>
      </c>
    </row>
    <row r="68" spans="8:21" x14ac:dyDescent="0.45">
      <c r="H68" s="15" t="s">
        <v>120</v>
      </c>
      <c r="I68" s="16">
        <v>0</v>
      </c>
      <c r="J68" s="16">
        <v>0</v>
      </c>
      <c r="K68" s="16">
        <v>1</v>
      </c>
      <c r="L68" s="17">
        <v>0</v>
      </c>
      <c r="M68" s="16">
        <v>0</v>
      </c>
      <c r="N68" s="16">
        <v>0</v>
      </c>
      <c r="O68" s="16">
        <v>0</v>
      </c>
      <c r="P68" s="16">
        <v>1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</row>
    <row r="69" spans="8:21" x14ac:dyDescent="0.45">
      <c r="H69" s="15" t="s">
        <v>92</v>
      </c>
      <c r="I69" s="14">
        <v>1</v>
      </c>
      <c r="J69" s="14">
        <v>0</v>
      </c>
      <c r="K69" s="14">
        <v>0</v>
      </c>
      <c r="L69" s="14">
        <v>0</v>
      </c>
      <c r="M69" s="16">
        <v>0</v>
      </c>
      <c r="N69" s="16">
        <v>0</v>
      </c>
      <c r="O69" s="14">
        <v>0</v>
      </c>
      <c r="P69" s="14">
        <v>1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</row>
    <row r="70" spans="8:21" x14ac:dyDescent="0.45">
      <c r="H70" s="15" t="s">
        <v>89</v>
      </c>
      <c r="I70" s="14">
        <v>0</v>
      </c>
      <c r="J70" s="14">
        <v>0</v>
      </c>
      <c r="K70" s="14">
        <v>0</v>
      </c>
      <c r="L70" s="14">
        <v>1</v>
      </c>
      <c r="M70" s="16">
        <v>0</v>
      </c>
      <c r="N70" s="16">
        <v>0</v>
      </c>
      <c r="O70" s="14">
        <v>0</v>
      </c>
      <c r="P70" s="14">
        <v>1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</row>
    <row r="71" spans="8:21" x14ac:dyDescent="0.45">
      <c r="H71" s="15" t="s">
        <v>95</v>
      </c>
      <c r="I71" s="14">
        <v>1</v>
      </c>
      <c r="J71" s="14">
        <v>0</v>
      </c>
      <c r="K71" s="14">
        <v>0</v>
      </c>
      <c r="L71" s="14">
        <v>0</v>
      </c>
      <c r="M71" s="16">
        <v>0</v>
      </c>
      <c r="N71" s="16">
        <v>0</v>
      </c>
      <c r="O71" s="14">
        <v>0.98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0.02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1711-050C-4022-BA8D-29DFCDC1B3A6}">
  <dimension ref="A1:D329"/>
  <sheetViews>
    <sheetView tabSelected="1" topLeftCell="A93" workbookViewId="0">
      <selection activeCell="C328" sqref="C328:C329"/>
    </sheetView>
  </sheetViews>
  <sheetFormatPr defaultRowHeight="14.25" x14ac:dyDescent="0.45"/>
  <cols>
    <col min="1" max="1" width="38.33203125" bestFit="1" customWidth="1"/>
    <col min="2" max="2" width="11.796875" bestFit="1" customWidth="1"/>
    <col min="3" max="3" width="9.9296875" style="7" customWidth="1"/>
  </cols>
  <sheetData>
    <row r="1" spans="1:3" ht="15.75" x14ac:dyDescent="0.5">
      <c r="A1" s="22" t="s">
        <v>133</v>
      </c>
    </row>
    <row r="3" spans="1:3" x14ac:dyDescent="0.45">
      <c r="A3" t="s">
        <v>26</v>
      </c>
      <c r="B3" t="s">
        <v>133</v>
      </c>
      <c r="C3" s="7" t="s">
        <v>134</v>
      </c>
    </row>
    <row r="4" spans="1:3" x14ac:dyDescent="0.45">
      <c r="A4" t="s">
        <v>29</v>
      </c>
      <c r="B4" t="s">
        <v>39</v>
      </c>
      <c r="C4" s="7">
        <v>0.63600000000000001</v>
      </c>
    </row>
    <row r="5" spans="1:3" x14ac:dyDescent="0.45">
      <c r="A5" t="s">
        <v>29</v>
      </c>
      <c r="B5" t="s">
        <v>79</v>
      </c>
      <c r="C5" s="7">
        <v>9.5000000000000001E-2</v>
      </c>
    </row>
    <row r="6" spans="1:3" x14ac:dyDescent="0.45">
      <c r="A6" t="s">
        <v>29</v>
      </c>
      <c r="B6" t="s">
        <v>84</v>
      </c>
      <c r="C6" s="7">
        <v>4.8000000000000001E-2</v>
      </c>
    </row>
    <row r="7" spans="1:3" x14ac:dyDescent="0.45">
      <c r="A7" t="s">
        <v>29</v>
      </c>
      <c r="B7" t="s">
        <v>80</v>
      </c>
      <c r="C7" s="7">
        <v>0.19600000000000001</v>
      </c>
    </row>
    <row r="8" spans="1:3" x14ac:dyDescent="0.45">
      <c r="A8" t="s">
        <v>29</v>
      </c>
      <c r="B8" t="s">
        <v>81</v>
      </c>
      <c r="C8" s="7">
        <v>2.5000000000000001E-2</v>
      </c>
    </row>
    <row r="9" spans="1:3" x14ac:dyDescent="0.45">
      <c r="A9" t="s">
        <v>31</v>
      </c>
      <c r="B9" t="s">
        <v>39</v>
      </c>
      <c r="C9" s="7">
        <v>0.2</v>
      </c>
    </row>
    <row r="10" spans="1:3" x14ac:dyDescent="0.45">
      <c r="A10" t="s">
        <v>31</v>
      </c>
      <c r="B10" t="s">
        <v>79</v>
      </c>
      <c r="C10" s="7">
        <v>0.57999999999999996</v>
      </c>
    </row>
    <row r="11" spans="1:3" x14ac:dyDescent="0.45">
      <c r="A11" t="s">
        <v>31</v>
      </c>
      <c r="B11" t="s">
        <v>84</v>
      </c>
      <c r="C11" s="7">
        <v>0.1</v>
      </c>
    </row>
    <row r="12" spans="1:3" x14ac:dyDescent="0.45">
      <c r="A12" t="s">
        <v>31</v>
      </c>
      <c r="B12" t="s">
        <v>80</v>
      </c>
      <c r="C12" s="7">
        <v>0.05</v>
      </c>
    </row>
    <row r="13" spans="1:3" x14ac:dyDescent="0.45">
      <c r="A13" t="s">
        <v>31</v>
      </c>
      <c r="B13" t="s">
        <v>81</v>
      </c>
      <c r="C13" s="7">
        <v>7.0000000000000007E-2</v>
      </c>
    </row>
    <row r="14" spans="1:3" x14ac:dyDescent="0.45">
      <c r="A14" t="s">
        <v>126</v>
      </c>
      <c r="B14" t="s">
        <v>79</v>
      </c>
      <c r="C14" s="7">
        <v>1</v>
      </c>
    </row>
    <row r="15" spans="1:3" x14ac:dyDescent="0.45">
      <c r="A15" t="s">
        <v>125</v>
      </c>
      <c r="B15" t="s">
        <v>79</v>
      </c>
      <c r="C15" s="7">
        <v>1</v>
      </c>
    </row>
    <row r="16" spans="1:3" x14ac:dyDescent="0.45">
      <c r="A16" t="s">
        <v>91</v>
      </c>
      <c r="B16" t="s">
        <v>79</v>
      </c>
      <c r="C16" s="7">
        <v>1</v>
      </c>
    </row>
    <row r="17" spans="1:3" x14ac:dyDescent="0.45">
      <c r="A17" t="s">
        <v>128</v>
      </c>
      <c r="B17" t="s">
        <v>79</v>
      </c>
      <c r="C17" s="7">
        <v>1</v>
      </c>
    </row>
    <row r="18" spans="1:3" x14ac:dyDescent="0.45">
      <c r="A18" t="s">
        <v>130</v>
      </c>
      <c r="B18" t="s">
        <v>79</v>
      </c>
      <c r="C18" s="7">
        <v>1</v>
      </c>
    </row>
    <row r="19" spans="1:3" x14ac:dyDescent="0.45">
      <c r="A19" t="s">
        <v>96</v>
      </c>
      <c r="B19" t="s">
        <v>39</v>
      </c>
      <c r="C19" s="7">
        <v>0.7</v>
      </c>
    </row>
    <row r="20" spans="1:3" x14ac:dyDescent="0.45">
      <c r="A20" t="s">
        <v>96</v>
      </c>
      <c r="B20" t="s">
        <v>79</v>
      </c>
      <c r="C20" s="7">
        <v>6.5000000000000002E-2</v>
      </c>
    </row>
    <row r="21" spans="1:3" x14ac:dyDescent="0.45">
      <c r="A21" t="s">
        <v>96</v>
      </c>
      <c r="B21" t="s">
        <v>84</v>
      </c>
      <c r="C21" s="7">
        <v>0.03</v>
      </c>
    </row>
    <row r="22" spans="1:3" x14ac:dyDescent="0.45">
      <c r="A22" t="s">
        <v>96</v>
      </c>
      <c r="B22" t="s">
        <v>80</v>
      </c>
      <c r="C22" s="7">
        <v>0.05</v>
      </c>
    </row>
    <row r="23" spans="1:3" x14ac:dyDescent="0.45">
      <c r="A23" t="s">
        <v>96</v>
      </c>
      <c r="B23" t="s">
        <v>142</v>
      </c>
      <c r="C23" s="7">
        <v>0.155</v>
      </c>
    </row>
    <row r="24" spans="1:3" x14ac:dyDescent="0.45">
      <c r="A24" t="s">
        <v>129</v>
      </c>
      <c r="B24" t="s">
        <v>79</v>
      </c>
      <c r="C24" s="7">
        <v>1</v>
      </c>
    </row>
    <row r="25" spans="1:3" x14ac:dyDescent="0.45">
      <c r="A25" t="s">
        <v>32</v>
      </c>
      <c r="B25" t="s">
        <v>39</v>
      </c>
      <c r="C25" s="7">
        <v>0.59299999999999997</v>
      </c>
    </row>
    <row r="26" spans="1:3" x14ac:dyDescent="0.45">
      <c r="A26" t="s">
        <v>32</v>
      </c>
      <c r="B26" t="s">
        <v>79</v>
      </c>
      <c r="C26" s="7">
        <v>0.216</v>
      </c>
    </row>
    <row r="27" spans="1:3" x14ac:dyDescent="0.45">
      <c r="A27" t="s">
        <v>32</v>
      </c>
      <c r="B27" t="s">
        <v>84</v>
      </c>
      <c r="C27" s="7">
        <v>0.03</v>
      </c>
    </row>
    <row r="28" spans="1:3" x14ac:dyDescent="0.45">
      <c r="A28" t="s">
        <v>32</v>
      </c>
      <c r="B28" t="s">
        <v>80</v>
      </c>
      <c r="C28" s="7">
        <v>6.0999999999999999E-2</v>
      </c>
    </row>
    <row r="29" spans="1:3" x14ac:dyDescent="0.45">
      <c r="A29" t="s">
        <v>32</v>
      </c>
      <c r="B29" t="s">
        <v>142</v>
      </c>
      <c r="C29" s="7">
        <v>0.1</v>
      </c>
    </row>
    <row r="30" spans="1:3" x14ac:dyDescent="0.45">
      <c r="A30" t="s">
        <v>132</v>
      </c>
      <c r="B30" t="s">
        <v>79</v>
      </c>
      <c r="C30" s="7">
        <v>1</v>
      </c>
    </row>
    <row r="31" spans="1:3" x14ac:dyDescent="0.45">
      <c r="A31" t="s">
        <v>74</v>
      </c>
      <c r="B31" t="s">
        <v>79</v>
      </c>
      <c r="C31" s="7">
        <v>1</v>
      </c>
    </row>
    <row r="32" spans="1:3" x14ac:dyDescent="0.45">
      <c r="A32" t="s">
        <v>90</v>
      </c>
      <c r="B32" t="s">
        <v>79</v>
      </c>
      <c r="C32" s="7">
        <v>1</v>
      </c>
    </row>
    <row r="33" spans="1:3" x14ac:dyDescent="0.45">
      <c r="A33" t="s">
        <v>71</v>
      </c>
      <c r="B33" t="s">
        <v>79</v>
      </c>
      <c r="C33" s="7">
        <v>0.44</v>
      </c>
    </row>
    <row r="34" spans="1:3" x14ac:dyDescent="0.45">
      <c r="A34" t="s">
        <v>71</v>
      </c>
      <c r="B34" t="s">
        <v>84</v>
      </c>
      <c r="C34" s="7">
        <v>0.20599999999999999</v>
      </c>
    </row>
    <row r="35" spans="1:3" x14ac:dyDescent="0.45">
      <c r="A35" t="s">
        <v>71</v>
      </c>
      <c r="B35" t="s">
        <v>80</v>
      </c>
      <c r="C35" s="7">
        <v>0.35399999999999998</v>
      </c>
    </row>
    <row r="36" spans="1:3" x14ac:dyDescent="0.45">
      <c r="A36" t="s">
        <v>97</v>
      </c>
      <c r="B36" t="s">
        <v>79</v>
      </c>
      <c r="C36" s="7">
        <v>1</v>
      </c>
    </row>
    <row r="37" spans="1:3" x14ac:dyDescent="0.45">
      <c r="A37" t="s">
        <v>99</v>
      </c>
      <c r="B37" t="s">
        <v>81</v>
      </c>
      <c r="C37" s="7">
        <v>1</v>
      </c>
    </row>
    <row r="38" spans="1:3" x14ac:dyDescent="0.45">
      <c r="A38" t="s">
        <v>34</v>
      </c>
      <c r="B38" t="s">
        <v>142</v>
      </c>
      <c r="C38" s="7">
        <v>1</v>
      </c>
    </row>
    <row r="39" spans="1:3" x14ac:dyDescent="0.45">
      <c r="A39" t="s">
        <v>127</v>
      </c>
      <c r="B39" t="s">
        <v>79</v>
      </c>
      <c r="C39" s="7">
        <v>1</v>
      </c>
    </row>
    <row r="40" spans="1:3" x14ac:dyDescent="0.45">
      <c r="A40" t="s">
        <v>101</v>
      </c>
      <c r="B40" t="s">
        <v>39</v>
      </c>
      <c r="C40" s="7">
        <v>1</v>
      </c>
    </row>
    <row r="41" spans="1:3" x14ac:dyDescent="0.45">
      <c r="A41" t="s">
        <v>102</v>
      </c>
      <c r="B41" t="s">
        <v>79</v>
      </c>
      <c r="C41" s="7">
        <v>1</v>
      </c>
    </row>
    <row r="42" spans="1:3" x14ac:dyDescent="0.45">
      <c r="A42" t="s">
        <v>67</v>
      </c>
      <c r="B42" t="s">
        <v>79</v>
      </c>
      <c r="C42" s="7">
        <v>1</v>
      </c>
    </row>
    <row r="43" spans="1:3" x14ac:dyDescent="0.45">
      <c r="A43" t="s">
        <v>147</v>
      </c>
      <c r="B43" t="s">
        <v>79</v>
      </c>
      <c r="C43" s="7">
        <v>0.91</v>
      </c>
    </row>
    <row r="44" spans="1:3" x14ac:dyDescent="0.45">
      <c r="A44" t="s">
        <v>147</v>
      </c>
      <c r="B44" t="s">
        <v>39</v>
      </c>
      <c r="C44" s="7">
        <v>0.09</v>
      </c>
    </row>
    <row r="45" spans="1:3" x14ac:dyDescent="0.45">
      <c r="A45" t="s">
        <v>146</v>
      </c>
      <c r="B45" t="s">
        <v>39</v>
      </c>
      <c r="C45" s="7">
        <v>0.09</v>
      </c>
    </row>
    <row r="46" spans="1:3" x14ac:dyDescent="0.45">
      <c r="A46" t="s">
        <v>146</v>
      </c>
      <c r="B46" t="s">
        <v>79</v>
      </c>
      <c r="C46" s="7">
        <v>0.91</v>
      </c>
    </row>
    <row r="47" spans="1:3" x14ac:dyDescent="0.45">
      <c r="A47" t="s">
        <v>94</v>
      </c>
      <c r="B47" t="s">
        <v>84</v>
      </c>
      <c r="C47" s="7">
        <v>1</v>
      </c>
    </row>
    <row r="48" spans="1:3" x14ac:dyDescent="0.45">
      <c r="A48" t="s">
        <v>75</v>
      </c>
      <c r="B48" t="s">
        <v>79</v>
      </c>
      <c r="C48" s="7">
        <v>1</v>
      </c>
    </row>
    <row r="49" spans="1:3" x14ac:dyDescent="0.45">
      <c r="A49" t="s">
        <v>104</v>
      </c>
      <c r="B49" t="s">
        <v>79</v>
      </c>
      <c r="C49" s="7">
        <v>1</v>
      </c>
    </row>
    <row r="50" spans="1:3" x14ac:dyDescent="0.45">
      <c r="A50" t="s">
        <v>105</v>
      </c>
      <c r="B50" t="s">
        <v>79</v>
      </c>
      <c r="C50" s="7">
        <v>1</v>
      </c>
    </row>
    <row r="51" spans="1:3" x14ac:dyDescent="0.45">
      <c r="A51" t="s">
        <v>117</v>
      </c>
      <c r="B51" t="s">
        <v>79</v>
      </c>
      <c r="C51" s="7">
        <v>1</v>
      </c>
    </row>
    <row r="52" spans="1:3" x14ac:dyDescent="0.45">
      <c r="A52" t="s">
        <v>107</v>
      </c>
      <c r="B52" t="s">
        <v>79</v>
      </c>
      <c r="C52" s="7">
        <v>1</v>
      </c>
    </row>
    <row r="53" spans="1:3" x14ac:dyDescent="0.45">
      <c r="A53" t="s">
        <v>106</v>
      </c>
      <c r="B53" t="s">
        <v>79</v>
      </c>
      <c r="C53" s="7">
        <v>1</v>
      </c>
    </row>
    <row r="54" spans="1:3" x14ac:dyDescent="0.45">
      <c r="A54" t="s">
        <v>118</v>
      </c>
      <c r="B54" t="s">
        <v>79</v>
      </c>
      <c r="C54" s="7">
        <v>1</v>
      </c>
    </row>
    <row r="55" spans="1:3" x14ac:dyDescent="0.45">
      <c r="A55" t="s">
        <v>110</v>
      </c>
      <c r="B55" t="s">
        <v>79</v>
      </c>
      <c r="C55" s="7">
        <v>1</v>
      </c>
    </row>
    <row r="56" spans="1:3" x14ac:dyDescent="0.45">
      <c r="A56" t="s">
        <v>109</v>
      </c>
      <c r="B56" t="s">
        <v>79</v>
      </c>
      <c r="C56" s="7">
        <v>1</v>
      </c>
    </row>
    <row r="57" spans="1:3" x14ac:dyDescent="0.45">
      <c r="A57" t="s">
        <v>108</v>
      </c>
      <c r="B57" t="s">
        <v>79</v>
      </c>
      <c r="C57" s="7">
        <v>1</v>
      </c>
    </row>
    <row r="58" spans="1:3" x14ac:dyDescent="0.45">
      <c r="A58" t="s">
        <v>113</v>
      </c>
      <c r="B58" t="s">
        <v>79</v>
      </c>
      <c r="C58" s="7">
        <v>1</v>
      </c>
    </row>
    <row r="59" spans="1:3" x14ac:dyDescent="0.45">
      <c r="A59" t="s">
        <v>111</v>
      </c>
      <c r="B59" t="s">
        <v>79</v>
      </c>
      <c r="C59" s="7">
        <v>1</v>
      </c>
    </row>
    <row r="60" spans="1:3" x14ac:dyDescent="0.45">
      <c r="A60" t="s">
        <v>114</v>
      </c>
      <c r="B60" t="s">
        <v>79</v>
      </c>
      <c r="C60" s="7">
        <v>1</v>
      </c>
    </row>
    <row r="61" spans="1:3" x14ac:dyDescent="0.45">
      <c r="A61" t="s">
        <v>112</v>
      </c>
      <c r="B61" t="s">
        <v>79</v>
      </c>
      <c r="C61" s="7">
        <v>1</v>
      </c>
    </row>
    <row r="62" spans="1:3" x14ac:dyDescent="0.45">
      <c r="A62" t="s">
        <v>116</v>
      </c>
      <c r="B62" t="s">
        <v>79</v>
      </c>
      <c r="C62" s="7">
        <v>1</v>
      </c>
    </row>
    <row r="63" spans="1:3" x14ac:dyDescent="0.45">
      <c r="A63" t="s">
        <v>115</v>
      </c>
      <c r="B63" t="s">
        <v>79</v>
      </c>
      <c r="C63" s="7">
        <v>1</v>
      </c>
    </row>
    <row r="64" spans="1:3" x14ac:dyDescent="0.45">
      <c r="A64" t="s">
        <v>145</v>
      </c>
      <c r="B64" t="s">
        <v>79</v>
      </c>
      <c r="C64" s="7">
        <v>1</v>
      </c>
    </row>
    <row r="65" spans="1:3" x14ac:dyDescent="0.45">
      <c r="A65" t="s">
        <v>144</v>
      </c>
      <c r="B65" t="s">
        <v>79</v>
      </c>
      <c r="C65" s="7">
        <v>1</v>
      </c>
    </row>
    <row r="66" spans="1:3" x14ac:dyDescent="0.45">
      <c r="A66" t="s">
        <v>148</v>
      </c>
      <c r="B66" t="s">
        <v>39</v>
      </c>
      <c r="C66" s="7">
        <v>0.57999999999999996</v>
      </c>
    </row>
    <row r="67" spans="1:3" x14ac:dyDescent="0.45">
      <c r="A67" t="s">
        <v>148</v>
      </c>
      <c r="B67" t="s">
        <v>79</v>
      </c>
      <c r="C67" s="7">
        <v>0.3</v>
      </c>
    </row>
    <row r="68" spans="1:3" x14ac:dyDescent="0.45">
      <c r="A68" t="s">
        <v>148</v>
      </c>
      <c r="B68" t="s">
        <v>80</v>
      </c>
      <c r="C68" s="7">
        <v>0.12</v>
      </c>
    </row>
    <row r="69" spans="1:3" x14ac:dyDescent="0.45">
      <c r="A69" t="s">
        <v>98</v>
      </c>
      <c r="B69" t="s">
        <v>39</v>
      </c>
      <c r="C69" s="7">
        <v>0.38</v>
      </c>
    </row>
    <row r="70" spans="1:3" x14ac:dyDescent="0.45">
      <c r="A70" t="s">
        <v>98</v>
      </c>
      <c r="B70" t="s">
        <v>79</v>
      </c>
      <c r="C70" s="7">
        <v>0.39</v>
      </c>
    </row>
    <row r="71" spans="1:3" x14ac:dyDescent="0.45">
      <c r="A71" t="s">
        <v>98</v>
      </c>
      <c r="B71" t="s">
        <v>84</v>
      </c>
      <c r="C71" s="7">
        <v>0.23</v>
      </c>
    </row>
    <row r="72" spans="1:3" x14ac:dyDescent="0.45">
      <c r="A72" t="s">
        <v>68</v>
      </c>
      <c r="B72" t="s">
        <v>39</v>
      </c>
      <c r="C72" s="7">
        <v>0.95</v>
      </c>
    </row>
    <row r="73" spans="1:3" x14ac:dyDescent="0.45">
      <c r="A73" t="s">
        <v>68</v>
      </c>
      <c r="B73" t="s">
        <v>80</v>
      </c>
      <c r="C73" s="7">
        <v>0.05</v>
      </c>
    </row>
    <row r="74" spans="1:3" x14ac:dyDescent="0.45">
      <c r="A74" t="s">
        <v>131</v>
      </c>
      <c r="B74" t="s">
        <v>84</v>
      </c>
      <c r="C74" s="7">
        <v>1</v>
      </c>
    </row>
    <row r="75" spans="1:3" x14ac:dyDescent="0.45">
      <c r="A75" t="s">
        <v>73</v>
      </c>
      <c r="B75" t="s">
        <v>79</v>
      </c>
      <c r="C75" s="7">
        <v>1</v>
      </c>
    </row>
    <row r="76" spans="1:3" x14ac:dyDescent="0.45">
      <c r="A76" t="s">
        <v>103</v>
      </c>
      <c r="B76" t="s">
        <v>79</v>
      </c>
      <c r="C76" s="7">
        <v>0.01</v>
      </c>
    </row>
    <row r="77" spans="1:3" x14ac:dyDescent="0.45">
      <c r="A77" t="s">
        <v>103</v>
      </c>
      <c r="B77" t="s">
        <v>81</v>
      </c>
      <c r="C77" s="7">
        <v>0.31</v>
      </c>
    </row>
    <row r="78" spans="1:3" x14ac:dyDescent="0.45">
      <c r="A78" t="s">
        <v>103</v>
      </c>
      <c r="B78" t="s">
        <v>142</v>
      </c>
      <c r="C78" s="7">
        <v>0.68</v>
      </c>
    </row>
    <row r="79" spans="1:3" x14ac:dyDescent="0.45">
      <c r="A79" t="s">
        <v>86</v>
      </c>
      <c r="B79" t="s">
        <v>79</v>
      </c>
      <c r="C79" s="7">
        <v>1</v>
      </c>
    </row>
    <row r="80" spans="1:3" x14ac:dyDescent="0.45">
      <c r="A80" t="s">
        <v>76</v>
      </c>
      <c r="B80" t="s">
        <v>39</v>
      </c>
      <c r="C80" s="7">
        <v>1</v>
      </c>
    </row>
    <row r="81" spans="1:3" x14ac:dyDescent="0.45">
      <c r="A81" t="s">
        <v>121</v>
      </c>
      <c r="B81" t="s">
        <v>79</v>
      </c>
      <c r="C81" s="7">
        <v>1</v>
      </c>
    </row>
    <row r="82" spans="1:3" x14ac:dyDescent="0.45">
      <c r="A82" t="s">
        <v>122</v>
      </c>
      <c r="B82" t="s">
        <v>39</v>
      </c>
      <c r="C82" s="7">
        <v>0.55000000000000004</v>
      </c>
    </row>
    <row r="83" spans="1:3" x14ac:dyDescent="0.45">
      <c r="A83" t="s">
        <v>122</v>
      </c>
      <c r="B83" t="s">
        <v>79</v>
      </c>
      <c r="C83" s="7">
        <v>0.2</v>
      </c>
    </row>
    <row r="84" spans="1:3" x14ac:dyDescent="0.45">
      <c r="A84" t="s">
        <v>122</v>
      </c>
      <c r="B84" t="s">
        <v>84</v>
      </c>
      <c r="C84" s="7">
        <v>0.1</v>
      </c>
    </row>
    <row r="85" spans="1:3" x14ac:dyDescent="0.45">
      <c r="A85" t="s">
        <v>122</v>
      </c>
      <c r="B85" t="s">
        <v>80</v>
      </c>
      <c r="C85" s="7">
        <v>0.05</v>
      </c>
    </row>
    <row r="86" spans="1:3" x14ac:dyDescent="0.45">
      <c r="A86" t="s">
        <v>122</v>
      </c>
      <c r="B86" t="s">
        <v>81</v>
      </c>
      <c r="C86" s="7">
        <v>0.05</v>
      </c>
    </row>
    <row r="87" spans="1:3" x14ac:dyDescent="0.45">
      <c r="A87" t="s">
        <v>122</v>
      </c>
      <c r="B87" t="s">
        <v>142</v>
      </c>
      <c r="C87" s="7">
        <v>0.05</v>
      </c>
    </row>
    <row r="88" spans="1:3" x14ac:dyDescent="0.45">
      <c r="A88" t="s">
        <v>77</v>
      </c>
      <c r="B88" t="s">
        <v>39</v>
      </c>
      <c r="C88" s="7">
        <v>1</v>
      </c>
    </row>
    <row r="89" spans="1:3" x14ac:dyDescent="0.45">
      <c r="A89" t="s">
        <v>11</v>
      </c>
      <c r="B89" t="s">
        <v>79</v>
      </c>
      <c r="C89" s="7">
        <v>1</v>
      </c>
    </row>
    <row r="90" spans="1:3" x14ac:dyDescent="0.45">
      <c r="A90" t="s">
        <v>149</v>
      </c>
      <c r="B90" t="s">
        <v>39</v>
      </c>
      <c r="C90" s="7">
        <v>0.31</v>
      </c>
    </row>
    <row r="91" spans="1:3" x14ac:dyDescent="0.45">
      <c r="A91" t="s">
        <v>149</v>
      </c>
      <c r="B91" t="s">
        <v>84</v>
      </c>
      <c r="C91" s="7">
        <v>0.22</v>
      </c>
    </row>
    <row r="92" spans="1:3" x14ac:dyDescent="0.45">
      <c r="A92" t="s">
        <v>149</v>
      </c>
      <c r="B92" t="s">
        <v>80</v>
      </c>
      <c r="C92" s="7">
        <v>0.47</v>
      </c>
    </row>
    <row r="93" spans="1:3" x14ac:dyDescent="0.45">
      <c r="A93" t="s">
        <v>88</v>
      </c>
      <c r="B93" t="s">
        <v>39</v>
      </c>
      <c r="C93" s="7">
        <v>0.63</v>
      </c>
    </row>
    <row r="94" spans="1:3" x14ac:dyDescent="0.45">
      <c r="A94" t="s">
        <v>88</v>
      </c>
      <c r="B94" t="s">
        <v>79</v>
      </c>
      <c r="C94" s="7">
        <v>0.2</v>
      </c>
    </row>
    <row r="95" spans="1:3" x14ac:dyDescent="0.45">
      <c r="A95" t="s">
        <v>88</v>
      </c>
      <c r="B95" t="s">
        <v>84</v>
      </c>
      <c r="C95" s="7">
        <v>0.05</v>
      </c>
    </row>
    <row r="96" spans="1:3" x14ac:dyDescent="0.45">
      <c r="A96" t="s">
        <v>88</v>
      </c>
      <c r="B96" t="s">
        <v>80</v>
      </c>
      <c r="C96" s="7">
        <v>0.12</v>
      </c>
    </row>
    <row r="97" spans="1:4" x14ac:dyDescent="0.45">
      <c r="A97" t="s">
        <v>78</v>
      </c>
      <c r="B97" t="s">
        <v>79</v>
      </c>
      <c r="C97" s="7">
        <v>1</v>
      </c>
    </row>
    <row r="98" spans="1:4" x14ac:dyDescent="0.45">
      <c r="A98" t="s">
        <v>85</v>
      </c>
      <c r="B98" t="s">
        <v>39</v>
      </c>
      <c r="C98" s="7">
        <v>0.4</v>
      </c>
    </row>
    <row r="99" spans="1:4" x14ac:dyDescent="0.45">
      <c r="A99" t="s">
        <v>85</v>
      </c>
      <c r="B99" t="s">
        <v>79</v>
      </c>
      <c r="C99" s="7">
        <v>0.47</v>
      </c>
    </row>
    <row r="100" spans="1:4" x14ac:dyDescent="0.45">
      <c r="A100" t="s">
        <v>85</v>
      </c>
      <c r="B100" t="s">
        <v>84</v>
      </c>
      <c r="C100" s="7">
        <v>0.03</v>
      </c>
    </row>
    <row r="101" spans="1:4" x14ac:dyDescent="0.45">
      <c r="A101" t="s">
        <v>85</v>
      </c>
      <c r="B101" t="s">
        <v>80</v>
      </c>
      <c r="C101" s="7">
        <v>0.1</v>
      </c>
    </row>
    <row r="102" spans="1:4" x14ac:dyDescent="0.45">
      <c r="A102" t="s">
        <v>40</v>
      </c>
      <c r="B102" t="s">
        <v>79</v>
      </c>
      <c r="C102" s="7">
        <v>1</v>
      </c>
    </row>
    <row r="103" spans="1:4" x14ac:dyDescent="0.45">
      <c r="A103" t="s">
        <v>69</v>
      </c>
      <c r="B103" t="s">
        <v>39</v>
      </c>
      <c r="C103" s="7">
        <v>1</v>
      </c>
    </row>
    <row r="104" spans="1:4" x14ac:dyDescent="0.45">
      <c r="A104" t="s">
        <v>93</v>
      </c>
      <c r="B104" t="s">
        <v>142</v>
      </c>
      <c r="C104" s="7">
        <v>1</v>
      </c>
    </row>
    <row r="105" spans="1:4" x14ac:dyDescent="0.45">
      <c r="A105" t="s">
        <v>42</v>
      </c>
      <c r="B105" t="s">
        <v>142</v>
      </c>
      <c r="C105" s="7">
        <v>1</v>
      </c>
    </row>
    <row r="106" spans="1:4" x14ac:dyDescent="0.45">
      <c r="A106" t="s">
        <v>43</v>
      </c>
      <c r="B106" t="s">
        <v>39</v>
      </c>
      <c r="C106" s="7">
        <v>1</v>
      </c>
    </row>
    <row r="107" spans="1:4" x14ac:dyDescent="0.45">
      <c r="A107" t="s">
        <v>72</v>
      </c>
      <c r="B107" t="s">
        <v>39</v>
      </c>
      <c r="C107" s="7">
        <v>1</v>
      </c>
    </row>
    <row r="108" spans="1:4" x14ac:dyDescent="0.45">
      <c r="A108" t="s">
        <v>44</v>
      </c>
      <c r="B108" t="s">
        <v>79</v>
      </c>
      <c r="C108" s="7">
        <v>1</v>
      </c>
      <c r="D108" s="23"/>
    </row>
    <row r="109" spans="1:4" x14ac:dyDescent="0.45">
      <c r="A109" t="s">
        <v>45</v>
      </c>
      <c r="B109" t="s">
        <v>39</v>
      </c>
      <c r="C109" s="7">
        <v>0.91</v>
      </c>
    </row>
    <row r="110" spans="1:4" x14ac:dyDescent="0.45">
      <c r="A110" t="s">
        <v>45</v>
      </c>
      <c r="B110" t="s">
        <v>79</v>
      </c>
      <c r="C110" s="7">
        <v>1.4999999999999999E-2</v>
      </c>
    </row>
    <row r="111" spans="1:4" x14ac:dyDescent="0.45">
      <c r="A111" t="s">
        <v>45</v>
      </c>
      <c r="B111" t="s">
        <v>80</v>
      </c>
      <c r="C111" s="7">
        <v>7.4999999999999997E-2</v>
      </c>
    </row>
    <row r="112" spans="1:4" x14ac:dyDescent="0.45">
      <c r="A112" t="s">
        <v>119</v>
      </c>
      <c r="B112" t="s">
        <v>79</v>
      </c>
      <c r="C112" s="7">
        <v>1</v>
      </c>
    </row>
    <row r="113" spans="1:3" x14ac:dyDescent="0.45">
      <c r="A113" t="s">
        <v>46</v>
      </c>
      <c r="B113" t="s">
        <v>39</v>
      </c>
      <c r="C113" s="7">
        <v>0.63</v>
      </c>
    </row>
    <row r="114" spans="1:3" x14ac:dyDescent="0.45">
      <c r="A114" t="s">
        <v>46</v>
      </c>
      <c r="B114" t="s">
        <v>79</v>
      </c>
      <c r="C114" s="7">
        <v>0.14199999999999999</v>
      </c>
    </row>
    <row r="115" spans="1:3" x14ac:dyDescent="0.45">
      <c r="A115" t="s">
        <v>46</v>
      </c>
      <c r="B115" t="s">
        <v>84</v>
      </c>
      <c r="C115" s="7">
        <v>7.3999999999999996E-2</v>
      </c>
    </row>
    <row r="116" spans="1:3" x14ac:dyDescent="0.45">
      <c r="A116" t="s">
        <v>46</v>
      </c>
      <c r="B116" t="s">
        <v>80</v>
      </c>
      <c r="C116" s="7">
        <v>0.154</v>
      </c>
    </row>
    <row r="117" spans="1:3" x14ac:dyDescent="0.45">
      <c r="A117" t="s">
        <v>47</v>
      </c>
      <c r="B117" t="s">
        <v>39</v>
      </c>
      <c r="C117" s="7">
        <v>0.71399999999999997</v>
      </c>
    </row>
    <row r="118" spans="1:3" x14ac:dyDescent="0.45">
      <c r="A118" t="s">
        <v>47</v>
      </c>
      <c r="B118" t="s">
        <v>79</v>
      </c>
      <c r="C118" s="7">
        <v>0.1</v>
      </c>
    </row>
    <row r="119" spans="1:3" x14ac:dyDescent="0.45">
      <c r="A119" t="s">
        <v>47</v>
      </c>
      <c r="B119" t="s">
        <v>84</v>
      </c>
      <c r="C119" s="7">
        <v>1.4999999999999999E-2</v>
      </c>
    </row>
    <row r="120" spans="1:3" x14ac:dyDescent="0.45">
      <c r="A120" t="s">
        <v>47</v>
      </c>
      <c r="B120" t="s">
        <v>80</v>
      </c>
      <c r="C120" s="7">
        <v>0.17100000000000001</v>
      </c>
    </row>
    <row r="121" spans="1:3" x14ac:dyDescent="0.45">
      <c r="A121" t="s">
        <v>92</v>
      </c>
      <c r="B121" t="s">
        <v>79</v>
      </c>
      <c r="C121" s="7">
        <v>1</v>
      </c>
    </row>
    <row r="122" spans="1:3" x14ac:dyDescent="0.45">
      <c r="A122" t="s">
        <v>92</v>
      </c>
      <c r="B122" t="s">
        <v>79</v>
      </c>
      <c r="C122" s="7">
        <v>1</v>
      </c>
    </row>
    <row r="123" spans="1:3" x14ac:dyDescent="0.45">
      <c r="A123" t="s">
        <v>89</v>
      </c>
      <c r="B123" t="s">
        <v>79</v>
      </c>
      <c r="C123" s="7">
        <v>1</v>
      </c>
    </row>
    <row r="124" spans="1:3" x14ac:dyDescent="0.45">
      <c r="A124" t="s">
        <v>95</v>
      </c>
      <c r="B124" t="s">
        <v>39</v>
      </c>
      <c r="C124" s="7">
        <v>0.98</v>
      </c>
    </row>
    <row r="125" spans="1:3" x14ac:dyDescent="0.45">
      <c r="A125" t="s">
        <v>95</v>
      </c>
      <c r="B125" t="s">
        <v>142</v>
      </c>
      <c r="C125" s="7">
        <v>0.02</v>
      </c>
    </row>
    <row r="126" spans="1:3" x14ac:dyDescent="0.45">
      <c r="A126" t="s">
        <v>95</v>
      </c>
      <c r="B126" t="s">
        <v>39</v>
      </c>
      <c r="C126" s="7">
        <v>1</v>
      </c>
    </row>
    <row r="128" spans="1:3" x14ac:dyDescent="0.45">
      <c r="A128" s="3" t="s">
        <v>135</v>
      </c>
    </row>
    <row r="130" spans="1:3" x14ac:dyDescent="0.45">
      <c r="A130" s="24" t="s">
        <v>26</v>
      </c>
      <c r="B130" s="25" t="s">
        <v>136</v>
      </c>
      <c r="C130" s="27" t="s">
        <v>134</v>
      </c>
    </row>
    <row r="131" spans="1:3" x14ac:dyDescent="0.45">
      <c r="A131" t="s">
        <v>29</v>
      </c>
      <c r="B131" t="s">
        <v>1</v>
      </c>
      <c r="C131" s="7">
        <v>1</v>
      </c>
    </row>
    <row r="132" spans="1:3" x14ac:dyDescent="0.45">
      <c r="A132" t="s">
        <v>31</v>
      </c>
      <c r="B132" t="s">
        <v>25</v>
      </c>
      <c r="C132" s="7">
        <v>1</v>
      </c>
    </row>
    <row r="133" spans="1:3" x14ac:dyDescent="0.45">
      <c r="A133" t="s">
        <v>126</v>
      </c>
      <c r="B133" t="s">
        <v>137</v>
      </c>
      <c r="C133" s="7">
        <v>1</v>
      </c>
    </row>
    <row r="134" spans="1:3" x14ac:dyDescent="0.45">
      <c r="A134" t="s">
        <v>125</v>
      </c>
      <c r="B134" t="s">
        <v>137</v>
      </c>
      <c r="C134" s="7">
        <v>1</v>
      </c>
    </row>
    <row r="135" spans="1:3" x14ac:dyDescent="0.45">
      <c r="A135" t="s">
        <v>91</v>
      </c>
      <c r="B135" t="s">
        <v>25</v>
      </c>
      <c r="C135" s="7">
        <v>1</v>
      </c>
    </row>
    <row r="136" spans="1:3" x14ac:dyDescent="0.45">
      <c r="A136" t="s">
        <v>128</v>
      </c>
      <c r="B136" t="s">
        <v>87</v>
      </c>
      <c r="C136" s="7">
        <v>1</v>
      </c>
    </row>
    <row r="137" spans="1:3" x14ac:dyDescent="0.45">
      <c r="A137" t="s">
        <v>130</v>
      </c>
      <c r="B137" t="s">
        <v>87</v>
      </c>
      <c r="C137" s="7">
        <v>1</v>
      </c>
    </row>
    <row r="138" spans="1:3" x14ac:dyDescent="0.45">
      <c r="A138" t="s">
        <v>96</v>
      </c>
      <c r="B138" t="s">
        <v>1</v>
      </c>
      <c r="C138" s="7">
        <v>1</v>
      </c>
    </row>
    <row r="139" spans="1:3" x14ac:dyDescent="0.45">
      <c r="A139" t="s">
        <v>100</v>
      </c>
      <c r="B139" t="s">
        <v>65</v>
      </c>
      <c r="C139" s="7">
        <v>1</v>
      </c>
    </row>
    <row r="140" spans="1:3" x14ac:dyDescent="0.45">
      <c r="A140" t="s">
        <v>129</v>
      </c>
      <c r="B140" t="s">
        <v>87</v>
      </c>
      <c r="C140" s="7">
        <v>1</v>
      </c>
    </row>
    <row r="141" spans="1:3" x14ac:dyDescent="0.45">
      <c r="A141" t="s">
        <v>32</v>
      </c>
      <c r="B141" t="s">
        <v>1</v>
      </c>
      <c r="C141" s="7">
        <v>1</v>
      </c>
    </row>
    <row r="142" spans="1:3" x14ac:dyDescent="0.45">
      <c r="A142" t="s">
        <v>132</v>
      </c>
      <c r="B142" t="s">
        <v>25</v>
      </c>
      <c r="C142" s="7">
        <v>1</v>
      </c>
    </row>
    <row r="143" spans="1:3" x14ac:dyDescent="0.45">
      <c r="A143" t="s">
        <v>74</v>
      </c>
      <c r="B143" t="s">
        <v>1</v>
      </c>
      <c r="C143" s="7">
        <v>1</v>
      </c>
    </row>
    <row r="144" spans="1:3" x14ac:dyDescent="0.45">
      <c r="A144" t="s">
        <v>90</v>
      </c>
      <c r="B144" t="s">
        <v>25</v>
      </c>
      <c r="C144" s="7">
        <v>1</v>
      </c>
    </row>
    <row r="145" spans="1:3" x14ac:dyDescent="0.45">
      <c r="A145" t="s">
        <v>71</v>
      </c>
      <c r="B145" t="s">
        <v>1</v>
      </c>
      <c r="C145" s="7">
        <v>1</v>
      </c>
    </row>
    <row r="146" spans="1:3" x14ac:dyDescent="0.45">
      <c r="A146" t="s">
        <v>97</v>
      </c>
      <c r="B146" t="s">
        <v>1</v>
      </c>
      <c r="C146" s="7">
        <v>1</v>
      </c>
    </row>
    <row r="147" spans="1:3" x14ac:dyDescent="0.45">
      <c r="A147" t="s">
        <v>99</v>
      </c>
      <c r="B147" t="s">
        <v>1</v>
      </c>
      <c r="C147" s="7">
        <v>1</v>
      </c>
    </row>
    <row r="148" spans="1:3" x14ac:dyDescent="0.45">
      <c r="A148" t="s">
        <v>34</v>
      </c>
      <c r="B148" t="s">
        <v>1</v>
      </c>
      <c r="C148" s="7">
        <v>1</v>
      </c>
    </row>
    <row r="149" spans="1:3" x14ac:dyDescent="0.45">
      <c r="A149" t="s">
        <v>127</v>
      </c>
      <c r="B149" t="s">
        <v>1</v>
      </c>
      <c r="C149" s="7">
        <v>0.6</v>
      </c>
    </row>
    <row r="150" spans="1:3" x14ac:dyDescent="0.45">
      <c r="A150" t="s">
        <v>127</v>
      </c>
      <c r="B150" t="s">
        <v>25</v>
      </c>
      <c r="C150" s="7">
        <v>0.4</v>
      </c>
    </row>
    <row r="151" spans="1:3" x14ac:dyDescent="0.45">
      <c r="A151" t="s">
        <v>101</v>
      </c>
      <c r="B151" t="s">
        <v>1</v>
      </c>
      <c r="C151" s="7">
        <v>1</v>
      </c>
    </row>
    <row r="152" spans="1:3" x14ac:dyDescent="0.45">
      <c r="A152" t="s">
        <v>102</v>
      </c>
      <c r="B152" t="s">
        <v>1</v>
      </c>
      <c r="C152" s="7">
        <v>1</v>
      </c>
    </row>
    <row r="153" spans="1:3" x14ac:dyDescent="0.45">
      <c r="A153" t="s">
        <v>67</v>
      </c>
      <c r="B153" t="s">
        <v>1</v>
      </c>
      <c r="C153" s="7">
        <v>1</v>
      </c>
    </row>
    <row r="154" spans="1:3" x14ac:dyDescent="0.45">
      <c r="A154" t="s">
        <v>147</v>
      </c>
      <c r="B154" t="s">
        <v>25</v>
      </c>
      <c r="C154" s="7">
        <v>1</v>
      </c>
    </row>
    <row r="155" spans="1:3" x14ac:dyDescent="0.45">
      <c r="A155" s="26" t="s">
        <v>146</v>
      </c>
      <c r="B155" t="s">
        <v>25</v>
      </c>
      <c r="C155" s="7">
        <v>1</v>
      </c>
    </row>
    <row r="156" spans="1:3" x14ac:dyDescent="0.45">
      <c r="A156" t="s">
        <v>94</v>
      </c>
      <c r="B156" t="s">
        <v>1</v>
      </c>
      <c r="C156" s="7">
        <v>1</v>
      </c>
    </row>
    <row r="157" spans="1:3" x14ac:dyDescent="0.45">
      <c r="A157" t="s">
        <v>75</v>
      </c>
      <c r="B157" t="s">
        <v>1</v>
      </c>
      <c r="C157" s="7">
        <v>1</v>
      </c>
    </row>
    <row r="158" spans="1:3" x14ac:dyDescent="0.45">
      <c r="A158" t="s">
        <v>104</v>
      </c>
      <c r="B158" t="s">
        <v>25</v>
      </c>
      <c r="C158" s="7">
        <v>1</v>
      </c>
    </row>
    <row r="159" spans="1:3" x14ac:dyDescent="0.45">
      <c r="A159" t="s">
        <v>105</v>
      </c>
      <c r="B159" t="s">
        <v>25</v>
      </c>
      <c r="C159" s="7">
        <v>1</v>
      </c>
    </row>
    <row r="160" spans="1:3" x14ac:dyDescent="0.45">
      <c r="A160" t="s">
        <v>117</v>
      </c>
      <c r="B160" t="s">
        <v>25</v>
      </c>
      <c r="C160" s="7">
        <v>1</v>
      </c>
    </row>
    <row r="161" spans="1:3" x14ac:dyDescent="0.45">
      <c r="A161" t="s">
        <v>107</v>
      </c>
      <c r="B161" t="s">
        <v>25</v>
      </c>
      <c r="C161" s="7">
        <v>1</v>
      </c>
    </row>
    <row r="162" spans="1:3" x14ac:dyDescent="0.45">
      <c r="A162" t="s">
        <v>106</v>
      </c>
      <c r="B162" t="s">
        <v>25</v>
      </c>
      <c r="C162" s="7">
        <v>1</v>
      </c>
    </row>
    <row r="163" spans="1:3" x14ac:dyDescent="0.45">
      <c r="A163" t="s">
        <v>118</v>
      </c>
      <c r="B163" t="s">
        <v>25</v>
      </c>
      <c r="C163" s="7">
        <v>1</v>
      </c>
    </row>
    <row r="164" spans="1:3" x14ac:dyDescent="0.45">
      <c r="A164" t="s">
        <v>110</v>
      </c>
      <c r="B164" t="s">
        <v>25</v>
      </c>
      <c r="C164" s="7">
        <v>1</v>
      </c>
    </row>
    <row r="165" spans="1:3" x14ac:dyDescent="0.45">
      <c r="A165" t="s">
        <v>109</v>
      </c>
      <c r="B165" t="s">
        <v>25</v>
      </c>
      <c r="C165" s="7">
        <v>1</v>
      </c>
    </row>
    <row r="166" spans="1:3" x14ac:dyDescent="0.45">
      <c r="A166" t="s">
        <v>108</v>
      </c>
      <c r="B166" t="s">
        <v>25</v>
      </c>
      <c r="C166" s="7">
        <v>1</v>
      </c>
    </row>
    <row r="167" spans="1:3" x14ac:dyDescent="0.45">
      <c r="A167" t="s">
        <v>113</v>
      </c>
      <c r="B167" t="s">
        <v>25</v>
      </c>
      <c r="C167" s="7">
        <v>1</v>
      </c>
    </row>
    <row r="168" spans="1:3" x14ac:dyDescent="0.45">
      <c r="A168" t="s">
        <v>111</v>
      </c>
      <c r="B168" t="s">
        <v>25</v>
      </c>
      <c r="C168" s="7">
        <v>1</v>
      </c>
    </row>
    <row r="169" spans="1:3" x14ac:dyDescent="0.45">
      <c r="A169" t="s">
        <v>114</v>
      </c>
      <c r="B169" t="s">
        <v>25</v>
      </c>
      <c r="C169" s="7">
        <v>1</v>
      </c>
    </row>
    <row r="170" spans="1:3" x14ac:dyDescent="0.45">
      <c r="A170" t="s">
        <v>112</v>
      </c>
      <c r="B170" t="s">
        <v>25</v>
      </c>
      <c r="C170" s="7">
        <v>1</v>
      </c>
    </row>
    <row r="171" spans="1:3" x14ac:dyDescent="0.45">
      <c r="A171" t="s">
        <v>116</v>
      </c>
      <c r="B171" t="s">
        <v>25</v>
      </c>
      <c r="C171" s="7">
        <v>1</v>
      </c>
    </row>
    <row r="172" spans="1:3" x14ac:dyDescent="0.45">
      <c r="A172" t="s">
        <v>115</v>
      </c>
      <c r="B172" t="s">
        <v>25</v>
      </c>
      <c r="C172" s="7">
        <v>1</v>
      </c>
    </row>
    <row r="173" spans="1:3" x14ac:dyDescent="0.45">
      <c r="A173" t="s">
        <v>145</v>
      </c>
      <c r="B173" t="s">
        <v>25</v>
      </c>
      <c r="C173" s="7">
        <v>1</v>
      </c>
    </row>
    <row r="174" spans="1:3" x14ac:dyDescent="0.45">
      <c r="A174" t="s">
        <v>144</v>
      </c>
      <c r="B174" t="s">
        <v>25</v>
      </c>
      <c r="C174" s="7">
        <v>1</v>
      </c>
    </row>
    <row r="175" spans="1:3" x14ac:dyDescent="0.45">
      <c r="A175" t="s">
        <v>148</v>
      </c>
      <c r="B175" t="s">
        <v>1</v>
      </c>
      <c r="C175" s="7">
        <v>1</v>
      </c>
    </row>
    <row r="176" spans="1:3" x14ac:dyDescent="0.45">
      <c r="A176" t="s">
        <v>98</v>
      </c>
      <c r="B176" t="s">
        <v>1</v>
      </c>
      <c r="C176" s="7">
        <v>1</v>
      </c>
    </row>
    <row r="177" spans="1:3" x14ac:dyDescent="0.45">
      <c r="A177" t="s">
        <v>68</v>
      </c>
      <c r="B177" t="s">
        <v>1</v>
      </c>
      <c r="C177" s="7">
        <v>1</v>
      </c>
    </row>
    <row r="178" spans="1:3" x14ac:dyDescent="0.45">
      <c r="A178" t="s">
        <v>131</v>
      </c>
      <c r="B178" t="s">
        <v>1</v>
      </c>
      <c r="C178" s="7">
        <v>1</v>
      </c>
    </row>
    <row r="179" spans="1:3" x14ac:dyDescent="0.45">
      <c r="A179" t="s">
        <v>73</v>
      </c>
      <c r="B179" t="s">
        <v>1</v>
      </c>
      <c r="C179" s="7">
        <v>1</v>
      </c>
    </row>
    <row r="180" spans="1:3" x14ac:dyDescent="0.45">
      <c r="A180" t="s">
        <v>103</v>
      </c>
      <c r="B180" t="s">
        <v>1</v>
      </c>
      <c r="C180" s="7">
        <v>1</v>
      </c>
    </row>
    <row r="181" spans="1:3" x14ac:dyDescent="0.45">
      <c r="A181" t="s">
        <v>86</v>
      </c>
      <c r="B181" t="s">
        <v>1</v>
      </c>
      <c r="C181" s="7">
        <v>0.22</v>
      </c>
    </row>
    <row r="182" spans="1:3" x14ac:dyDescent="0.45">
      <c r="A182" t="s">
        <v>86</v>
      </c>
      <c r="B182" t="s">
        <v>87</v>
      </c>
      <c r="C182" s="7">
        <v>0.78</v>
      </c>
    </row>
    <row r="183" spans="1:3" x14ac:dyDescent="0.45">
      <c r="A183" t="s">
        <v>76</v>
      </c>
      <c r="B183" t="s">
        <v>1</v>
      </c>
      <c r="C183" s="7">
        <v>1</v>
      </c>
    </row>
    <row r="184" spans="1:3" x14ac:dyDescent="0.45">
      <c r="A184" t="s">
        <v>121</v>
      </c>
      <c r="B184" t="s">
        <v>1</v>
      </c>
      <c r="C184" s="7">
        <v>1</v>
      </c>
    </row>
    <row r="185" spans="1:3" x14ac:dyDescent="0.45">
      <c r="A185" t="s">
        <v>121</v>
      </c>
      <c r="B185" t="s">
        <v>87</v>
      </c>
      <c r="C185" s="7">
        <v>1</v>
      </c>
    </row>
    <row r="186" spans="1:3" x14ac:dyDescent="0.45">
      <c r="A186" t="s">
        <v>122</v>
      </c>
      <c r="B186" t="s">
        <v>1</v>
      </c>
      <c r="C186" s="7">
        <v>0.91200000000000003</v>
      </c>
    </row>
    <row r="187" spans="1:3" x14ac:dyDescent="0.45">
      <c r="A187" t="s">
        <v>122</v>
      </c>
      <c r="B187" t="s">
        <v>25</v>
      </c>
      <c r="C187" s="7">
        <v>3.15E-2</v>
      </c>
    </row>
    <row r="188" spans="1:3" x14ac:dyDescent="0.45">
      <c r="A188" t="s">
        <v>122</v>
      </c>
      <c r="B188" t="s">
        <v>87</v>
      </c>
      <c r="C188" s="7">
        <v>0.06</v>
      </c>
    </row>
    <row r="189" spans="1:3" x14ac:dyDescent="0.45">
      <c r="A189" t="s">
        <v>77</v>
      </c>
      <c r="B189" t="s">
        <v>1</v>
      </c>
      <c r="C189" s="7">
        <v>1</v>
      </c>
    </row>
    <row r="190" spans="1:3" x14ac:dyDescent="0.45">
      <c r="A190" t="s">
        <v>11</v>
      </c>
      <c r="B190" t="s">
        <v>87</v>
      </c>
      <c r="C190" s="7">
        <v>1</v>
      </c>
    </row>
    <row r="191" spans="1:3" x14ac:dyDescent="0.45">
      <c r="A191" t="s">
        <v>149</v>
      </c>
      <c r="B191" t="s">
        <v>1</v>
      </c>
      <c r="C191" s="7">
        <v>1</v>
      </c>
    </row>
    <row r="192" spans="1:3" x14ac:dyDescent="0.45">
      <c r="A192" t="s">
        <v>88</v>
      </c>
      <c r="B192" t="s">
        <v>1</v>
      </c>
      <c r="C192" s="7">
        <v>1</v>
      </c>
    </row>
    <row r="193" spans="1:3" x14ac:dyDescent="0.45">
      <c r="A193" t="s">
        <v>78</v>
      </c>
      <c r="B193" t="s">
        <v>1</v>
      </c>
      <c r="C193" s="7">
        <v>1</v>
      </c>
    </row>
    <row r="194" spans="1:3" x14ac:dyDescent="0.45">
      <c r="A194" t="s">
        <v>85</v>
      </c>
      <c r="B194" t="s">
        <v>1</v>
      </c>
      <c r="C194" s="7">
        <v>0.8</v>
      </c>
    </row>
    <row r="195" spans="1:3" x14ac:dyDescent="0.45">
      <c r="A195" t="s">
        <v>85</v>
      </c>
      <c r="B195" t="s">
        <v>25</v>
      </c>
      <c r="C195" s="7">
        <v>0.18</v>
      </c>
    </row>
    <row r="196" spans="1:3" x14ac:dyDescent="0.45">
      <c r="A196" t="s">
        <v>85</v>
      </c>
      <c r="B196" t="s">
        <v>65</v>
      </c>
      <c r="C196" s="7">
        <v>0.02</v>
      </c>
    </row>
    <row r="197" spans="1:3" x14ac:dyDescent="0.45">
      <c r="A197" t="s">
        <v>64</v>
      </c>
      <c r="B197" t="s">
        <v>65</v>
      </c>
      <c r="C197" s="7">
        <v>1</v>
      </c>
    </row>
    <row r="198" spans="1:3" x14ac:dyDescent="0.45">
      <c r="A198" t="s">
        <v>40</v>
      </c>
      <c r="B198" t="s">
        <v>87</v>
      </c>
      <c r="C198" s="7">
        <v>1</v>
      </c>
    </row>
    <row r="199" spans="1:3" x14ac:dyDescent="0.45">
      <c r="A199" t="s">
        <v>69</v>
      </c>
      <c r="B199" t="s">
        <v>1</v>
      </c>
      <c r="C199" s="7">
        <v>1</v>
      </c>
    </row>
    <row r="200" spans="1:3" x14ac:dyDescent="0.45">
      <c r="A200" t="s">
        <v>93</v>
      </c>
      <c r="B200" t="s">
        <v>1</v>
      </c>
      <c r="C200" s="7">
        <v>1</v>
      </c>
    </row>
    <row r="201" spans="1:3" x14ac:dyDescent="0.45">
      <c r="A201" t="s">
        <v>42</v>
      </c>
      <c r="B201" t="s">
        <v>25</v>
      </c>
      <c r="C201" s="7">
        <v>1</v>
      </c>
    </row>
    <row r="202" spans="1:3" x14ac:dyDescent="0.45">
      <c r="A202" t="s">
        <v>43</v>
      </c>
      <c r="B202" t="s">
        <v>25</v>
      </c>
      <c r="C202" s="7">
        <v>1</v>
      </c>
    </row>
    <row r="203" spans="1:3" x14ac:dyDescent="0.45">
      <c r="A203" t="s">
        <v>72</v>
      </c>
      <c r="B203" t="s">
        <v>25</v>
      </c>
      <c r="C203" s="7">
        <v>1</v>
      </c>
    </row>
    <row r="204" spans="1:3" x14ac:dyDescent="0.45">
      <c r="A204" t="s">
        <v>44</v>
      </c>
      <c r="B204" t="s">
        <v>25</v>
      </c>
      <c r="C204" s="7">
        <v>1</v>
      </c>
    </row>
    <row r="205" spans="1:3" x14ac:dyDescent="0.45">
      <c r="A205" t="s">
        <v>45</v>
      </c>
      <c r="B205" t="s">
        <v>1</v>
      </c>
      <c r="C205" s="7">
        <v>1</v>
      </c>
    </row>
    <row r="206" spans="1:3" x14ac:dyDescent="0.45">
      <c r="A206" t="s">
        <v>119</v>
      </c>
      <c r="B206" t="s">
        <v>1</v>
      </c>
      <c r="C206" s="7">
        <v>1</v>
      </c>
    </row>
    <row r="207" spans="1:3" x14ac:dyDescent="0.45">
      <c r="A207" t="s">
        <v>143</v>
      </c>
      <c r="B207" t="s">
        <v>65</v>
      </c>
      <c r="C207" s="7">
        <v>1</v>
      </c>
    </row>
    <row r="208" spans="1:3" x14ac:dyDescent="0.45">
      <c r="A208" t="s">
        <v>46</v>
      </c>
      <c r="B208" t="s">
        <v>1</v>
      </c>
      <c r="C208" s="7">
        <v>1</v>
      </c>
    </row>
    <row r="209" spans="1:3" x14ac:dyDescent="0.45">
      <c r="A209" t="s">
        <v>47</v>
      </c>
      <c r="B209" t="s">
        <v>1</v>
      </c>
      <c r="C209" s="7">
        <v>1</v>
      </c>
    </row>
    <row r="210" spans="1:3" x14ac:dyDescent="0.45">
      <c r="A210" t="s">
        <v>120</v>
      </c>
      <c r="B210" t="s">
        <v>65</v>
      </c>
      <c r="C210" s="7">
        <v>1</v>
      </c>
    </row>
    <row r="211" spans="1:3" x14ac:dyDescent="0.45">
      <c r="A211" t="s">
        <v>92</v>
      </c>
      <c r="B211" t="s">
        <v>1</v>
      </c>
      <c r="C211" s="7">
        <v>1</v>
      </c>
    </row>
    <row r="212" spans="1:3" x14ac:dyDescent="0.45">
      <c r="A212" t="s">
        <v>92</v>
      </c>
      <c r="B212" t="s">
        <v>1</v>
      </c>
      <c r="C212" s="7">
        <v>1</v>
      </c>
    </row>
    <row r="213" spans="1:3" x14ac:dyDescent="0.45">
      <c r="A213" t="s">
        <v>89</v>
      </c>
      <c r="B213" t="s">
        <v>87</v>
      </c>
      <c r="C213" s="7">
        <v>1</v>
      </c>
    </row>
    <row r="214" spans="1:3" x14ac:dyDescent="0.45">
      <c r="A214" t="s">
        <v>95</v>
      </c>
      <c r="B214" t="s">
        <v>1</v>
      </c>
      <c r="C214" s="7">
        <v>1</v>
      </c>
    </row>
    <row r="215" spans="1:3" x14ac:dyDescent="0.45">
      <c r="A215" t="s">
        <v>95</v>
      </c>
      <c r="B215" t="s">
        <v>1</v>
      </c>
      <c r="C215" s="7">
        <v>1</v>
      </c>
    </row>
    <row r="217" spans="1:3" x14ac:dyDescent="0.45">
      <c r="A217" s="3" t="s">
        <v>138</v>
      </c>
    </row>
    <row r="219" spans="1:3" x14ac:dyDescent="0.45">
      <c r="A219" t="s">
        <v>26</v>
      </c>
      <c r="B219" t="s">
        <v>139</v>
      </c>
      <c r="C219" s="7" t="s">
        <v>134</v>
      </c>
    </row>
    <row r="220" spans="1:3" x14ac:dyDescent="0.45">
      <c r="A220" t="s">
        <v>29</v>
      </c>
      <c r="B220" t="s">
        <v>140</v>
      </c>
      <c r="C220" s="7">
        <v>0.63600000000000001</v>
      </c>
    </row>
    <row r="221" spans="1:3" x14ac:dyDescent="0.45">
      <c r="A221" t="s">
        <v>29</v>
      </c>
      <c r="B221" t="s">
        <v>41</v>
      </c>
      <c r="C221" s="7">
        <v>0.08</v>
      </c>
    </row>
    <row r="222" spans="1:3" x14ac:dyDescent="0.45">
      <c r="A222" t="s">
        <v>29</v>
      </c>
      <c r="B222" t="s">
        <v>141</v>
      </c>
      <c r="C222" s="7">
        <v>0.28399999999999997</v>
      </c>
    </row>
    <row r="223" spans="1:3" x14ac:dyDescent="0.45">
      <c r="A223" t="s">
        <v>31</v>
      </c>
      <c r="B223" t="s">
        <v>140</v>
      </c>
      <c r="C223" s="7">
        <v>0.2</v>
      </c>
    </row>
    <row r="224" spans="1:3" x14ac:dyDescent="0.45">
      <c r="A224" t="s">
        <v>31</v>
      </c>
      <c r="B224" t="s">
        <v>41</v>
      </c>
      <c r="C224" s="7">
        <v>0.52</v>
      </c>
    </row>
    <row r="225" spans="1:3" x14ac:dyDescent="0.45">
      <c r="A225" t="s">
        <v>31</v>
      </c>
      <c r="B225" t="s">
        <v>141</v>
      </c>
      <c r="C225" s="7">
        <v>0.28000000000000003</v>
      </c>
    </row>
    <row r="226" spans="1:3" x14ac:dyDescent="0.45">
      <c r="A226" t="s">
        <v>126</v>
      </c>
      <c r="B226" t="s">
        <v>41</v>
      </c>
      <c r="C226" s="7">
        <v>1</v>
      </c>
    </row>
    <row r="227" spans="1:3" x14ac:dyDescent="0.45">
      <c r="A227" t="s">
        <v>125</v>
      </c>
      <c r="B227" t="s">
        <v>41</v>
      </c>
      <c r="C227" s="7">
        <v>1</v>
      </c>
    </row>
    <row r="228" spans="1:3" x14ac:dyDescent="0.45">
      <c r="A228" t="s">
        <v>91</v>
      </c>
      <c r="B228" t="s">
        <v>41</v>
      </c>
      <c r="C228" s="7">
        <v>1</v>
      </c>
    </row>
    <row r="229" spans="1:3" x14ac:dyDescent="0.45">
      <c r="A229" t="s">
        <v>128</v>
      </c>
      <c r="B229" t="s">
        <v>41</v>
      </c>
      <c r="C229" s="7">
        <v>1</v>
      </c>
    </row>
    <row r="230" spans="1:3" x14ac:dyDescent="0.45">
      <c r="A230" t="s">
        <v>130</v>
      </c>
      <c r="B230" t="s">
        <v>41</v>
      </c>
      <c r="C230" s="7">
        <v>1</v>
      </c>
    </row>
    <row r="231" spans="1:3" x14ac:dyDescent="0.45">
      <c r="A231" t="s">
        <v>96</v>
      </c>
      <c r="B231" t="s">
        <v>140</v>
      </c>
      <c r="C231" s="7">
        <v>0.7</v>
      </c>
    </row>
    <row r="232" spans="1:3" x14ac:dyDescent="0.45">
      <c r="A232" t="s">
        <v>96</v>
      </c>
      <c r="B232" t="s">
        <v>41</v>
      </c>
      <c r="C232" s="7">
        <v>0.22</v>
      </c>
    </row>
    <row r="233" spans="1:3" x14ac:dyDescent="0.45">
      <c r="A233" t="s">
        <v>96</v>
      </c>
      <c r="B233" t="s">
        <v>141</v>
      </c>
      <c r="C233" s="7">
        <v>0.08</v>
      </c>
    </row>
    <row r="234" spans="1:3" x14ac:dyDescent="0.45">
      <c r="A234" t="s">
        <v>100</v>
      </c>
      <c r="B234" t="s">
        <v>140</v>
      </c>
      <c r="C234" s="7">
        <v>1</v>
      </c>
    </row>
    <row r="235" spans="1:3" x14ac:dyDescent="0.45">
      <c r="A235" t="s">
        <v>129</v>
      </c>
      <c r="B235" t="s">
        <v>41</v>
      </c>
      <c r="C235" s="7">
        <v>1</v>
      </c>
    </row>
    <row r="236" spans="1:3" x14ac:dyDescent="0.45">
      <c r="A236" t="s">
        <v>32</v>
      </c>
      <c r="B236" t="s">
        <v>140</v>
      </c>
      <c r="C236" s="7">
        <v>0.5</v>
      </c>
    </row>
    <row r="237" spans="1:3" x14ac:dyDescent="0.45">
      <c r="A237" t="s">
        <v>32</v>
      </c>
      <c r="B237" t="s">
        <v>41</v>
      </c>
      <c r="C237" s="7">
        <v>0.25</v>
      </c>
    </row>
    <row r="238" spans="1:3" x14ac:dyDescent="0.45">
      <c r="A238" t="s">
        <v>32</v>
      </c>
      <c r="B238" t="s">
        <v>141</v>
      </c>
      <c r="C238" s="7">
        <v>0.25</v>
      </c>
    </row>
    <row r="239" spans="1:3" x14ac:dyDescent="0.45">
      <c r="A239" t="s">
        <v>132</v>
      </c>
      <c r="B239" t="s">
        <v>140</v>
      </c>
      <c r="C239" s="7">
        <v>0.14499999999999999</v>
      </c>
    </row>
    <row r="240" spans="1:3" x14ac:dyDescent="0.45">
      <c r="A240" t="s">
        <v>132</v>
      </c>
      <c r="B240" t="s">
        <v>41</v>
      </c>
      <c r="C240" s="7">
        <v>0.76</v>
      </c>
    </row>
    <row r="241" spans="1:3" x14ac:dyDescent="0.45">
      <c r="A241" t="s">
        <v>132</v>
      </c>
      <c r="B241" t="s">
        <v>141</v>
      </c>
      <c r="C241" s="7">
        <v>9.5000000000000001E-2</v>
      </c>
    </row>
    <row r="242" spans="1:3" x14ac:dyDescent="0.45">
      <c r="A242" t="s">
        <v>74</v>
      </c>
      <c r="B242" t="s">
        <v>41</v>
      </c>
      <c r="C242" s="7">
        <v>1</v>
      </c>
    </row>
    <row r="243" spans="1:3" x14ac:dyDescent="0.45">
      <c r="A243" t="s">
        <v>90</v>
      </c>
      <c r="B243" t="s">
        <v>41</v>
      </c>
      <c r="C243" s="7">
        <v>1</v>
      </c>
    </row>
    <row r="244" spans="1:3" x14ac:dyDescent="0.45">
      <c r="A244" t="s">
        <v>71</v>
      </c>
      <c r="B244" t="s">
        <v>41</v>
      </c>
      <c r="C244" s="7">
        <v>0.25</v>
      </c>
    </row>
    <row r="245" spans="1:3" x14ac:dyDescent="0.45">
      <c r="A245" t="s">
        <v>71</v>
      </c>
      <c r="B245" t="s">
        <v>141</v>
      </c>
      <c r="C245" s="7">
        <v>0.75</v>
      </c>
    </row>
    <row r="246" spans="1:3" x14ac:dyDescent="0.45">
      <c r="A246" t="s">
        <v>97</v>
      </c>
      <c r="B246" t="s">
        <v>41</v>
      </c>
      <c r="C246" s="7">
        <v>1</v>
      </c>
    </row>
    <row r="247" spans="1:3" x14ac:dyDescent="0.45">
      <c r="A247" t="s">
        <v>99</v>
      </c>
      <c r="B247" t="s">
        <v>141</v>
      </c>
      <c r="C247" s="7">
        <v>1</v>
      </c>
    </row>
    <row r="248" spans="1:3" x14ac:dyDescent="0.45">
      <c r="A248" t="s">
        <v>34</v>
      </c>
      <c r="B248" t="s">
        <v>141</v>
      </c>
      <c r="C248" s="7">
        <v>1</v>
      </c>
    </row>
    <row r="249" spans="1:3" x14ac:dyDescent="0.45">
      <c r="A249" t="s">
        <v>127</v>
      </c>
      <c r="B249" t="s">
        <v>41</v>
      </c>
      <c r="C249" s="7">
        <v>1</v>
      </c>
    </row>
    <row r="250" spans="1:3" x14ac:dyDescent="0.45">
      <c r="A250" t="s">
        <v>101</v>
      </c>
      <c r="B250" t="s">
        <v>140</v>
      </c>
      <c r="C250" s="7">
        <v>1</v>
      </c>
    </row>
    <row r="251" spans="1:3" x14ac:dyDescent="0.45">
      <c r="A251" t="s">
        <v>102</v>
      </c>
      <c r="B251" t="s">
        <v>41</v>
      </c>
      <c r="C251" s="7">
        <v>1</v>
      </c>
    </row>
    <row r="252" spans="1:3" x14ac:dyDescent="0.45">
      <c r="A252" t="s">
        <v>67</v>
      </c>
      <c r="B252" t="s">
        <v>41</v>
      </c>
      <c r="C252" s="7">
        <v>1</v>
      </c>
    </row>
    <row r="253" spans="1:3" x14ac:dyDescent="0.45">
      <c r="A253" t="s">
        <v>147</v>
      </c>
      <c r="B253" t="s">
        <v>140</v>
      </c>
      <c r="C253" s="7">
        <v>0.09</v>
      </c>
    </row>
    <row r="254" spans="1:3" x14ac:dyDescent="0.45">
      <c r="A254" t="s">
        <v>147</v>
      </c>
      <c r="B254" t="s">
        <v>41</v>
      </c>
      <c r="C254" s="7">
        <v>0.89</v>
      </c>
    </row>
    <row r="255" spans="1:3" x14ac:dyDescent="0.45">
      <c r="A255" t="s">
        <v>147</v>
      </c>
      <c r="B255" t="s">
        <v>141</v>
      </c>
      <c r="C255" s="7">
        <v>0.02</v>
      </c>
    </row>
    <row r="256" spans="1:3" x14ac:dyDescent="0.45">
      <c r="A256" t="s">
        <v>146</v>
      </c>
      <c r="B256" t="s">
        <v>140</v>
      </c>
      <c r="C256" s="7">
        <v>0.09</v>
      </c>
    </row>
    <row r="257" spans="1:3" x14ac:dyDescent="0.45">
      <c r="A257" t="s">
        <v>146</v>
      </c>
      <c r="B257" t="s">
        <v>41</v>
      </c>
      <c r="C257" s="16">
        <v>0.91</v>
      </c>
    </row>
    <row r="258" spans="1:3" x14ac:dyDescent="0.45">
      <c r="A258" t="s">
        <v>94</v>
      </c>
      <c r="B258" t="s">
        <v>141</v>
      </c>
      <c r="C258" s="7">
        <v>1</v>
      </c>
    </row>
    <row r="259" spans="1:3" x14ac:dyDescent="0.45">
      <c r="A259" t="s">
        <v>75</v>
      </c>
      <c r="B259" t="s">
        <v>41</v>
      </c>
      <c r="C259" s="7">
        <v>1</v>
      </c>
    </row>
    <row r="260" spans="1:3" x14ac:dyDescent="0.45">
      <c r="A260" t="s">
        <v>104</v>
      </c>
      <c r="B260" t="s">
        <v>41</v>
      </c>
      <c r="C260" s="7">
        <v>1</v>
      </c>
    </row>
    <row r="261" spans="1:3" x14ac:dyDescent="0.45">
      <c r="A261" t="s">
        <v>105</v>
      </c>
      <c r="B261" t="s">
        <v>41</v>
      </c>
      <c r="C261" s="7">
        <v>1</v>
      </c>
    </row>
    <row r="262" spans="1:3" x14ac:dyDescent="0.45">
      <c r="A262" t="s">
        <v>117</v>
      </c>
      <c r="B262" t="s">
        <v>41</v>
      </c>
      <c r="C262" s="7">
        <v>1</v>
      </c>
    </row>
    <row r="263" spans="1:3" x14ac:dyDescent="0.45">
      <c r="A263" t="s">
        <v>107</v>
      </c>
      <c r="B263" t="s">
        <v>41</v>
      </c>
      <c r="C263" s="7">
        <v>1</v>
      </c>
    </row>
    <row r="264" spans="1:3" x14ac:dyDescent="0.45">
      <c r="A264" t="s">
        <v>106</v>
      </c>
      <c r="B264" t="s">
        <v>41</v>
      </c>
      <c r="C264" s="7">
        <v>1</v>
      </c>
    </row>
    <row r="265" spans="1:3" x14ac:dyDescent="0.45">
      <c r="A265" t="s">
        <v>118</v>
      </c>
      <c r="B265" t="s">
        <v>41</v>
      </c>
      <c r="C265" s="7">
        <v>1</v>
      </c>
    </row>
    <row r="266" spans="1:3" x14ac:dyDescent="0.45">
      <c r="A266" t="s">
        <v>110</v>
      </c>
      <c r="B266" t="s">
        <v>41</v>
      </c>
      <c r="C266" s="7">
        <v>1</v>
      </c>
    </row>
    <row r="267" spans="1:3" x14ac:dyDescent="0.45">
      <c r="A267" t="s">
        <v>109</v>
      </c>
      <c r="B267" t="s">
        <v>41</v>
      </c>
      <c r="C267" s="7">
        <v>1</v>
      </c>
    </row>
    <row r="268" spans="1:3" x14ac:dyDescent="0.45">
      <c r="A268" t="s">
        <v>108</v>
      </c>
      <c r="B268" t="s">
        <v>41</v>
      </c>
      <c r="C268" s="7">
        <v>1</v>
      </c>
    </row>
    <row r="269" spans="1:3" x14ac:dyDescent="0.45">
      <c r="A269" t="s">
        <v>113</v>
      </c>
      <c r="B269" t="s">
        <v>41</v>
      </c>
      <c r="C269" s="7">
        <v>1</v>
      </c>
    </row>
    <row r="270" spans="1:3" x14ac:dyDescent="0.45">
      <c r="A270" t="s">
        <v>111</v>
      </c>
      <c r="B270" t="s">
        <v>41</v>
      </c>
      <c r="C270" s="7">
        <v>1</v>
      </c>
    </row>
    <row r="271" spans="1:3" x14ac:dyDescent="0.45">
      <c r="A271" t="s">
        <v>114</v>
      </c>
      <c r="B271" t="s">
        <v>41</v>
      </c>
      <c r="C271" s="7">
        <v>1</v>
      </c>
    </row>
    <row r="272" spans="1:3" x14ac:dyDescent="0.45">
      <c r="A272" t="s">
        <v>112</v>
      </c>
      <c r="B272" t="s">
        <v>41</v>
      </c>
      <c r="C272" s="7">
        <v>1</v>
      </c>
    </row>
    <row r="273" spans="1:3" x14ac:dyDescent="0.45">
      <c r="A273" t="s">
        <v>116</v>
      </c>
      <c r="B273" t="s">
        <v>41</v>
      </c>
      <c r="C273" s="7">
        <v>1</v>
      </c>
    </row>
    <row r="274" spans="1:3" x14ac:dyDescent="0.45">
      <c r="A274" t="s">
        <v>115</v>
      </c>
      <c r="B274" t="s">
        <v>41</v>
      </c>
      <c r="C274" s="7">
        <v>1</v>
      </c>
    </row>
    <row r="275" spans="1:3" x14ac:dyDescent="0.45">
      <c r="A275" t="s">
        <v>145</v>
      </c>
      <c r="B275" t="s">
        <v>41</v>
      </c>
      <c r="C275" s="7">
        <v>1</v>
      </c>
    </row>
    <row r="276" spans="1:3" x14ac:dyDescent="0.45">
      <c r="A276" t="s">
        <v>144</v>
      </c>
      <c r="B276" t="s">
        <v>41</v>
      </c>
      <c r="C276" s="7">
        <v>1</v>
      </c>
    </row>
    <row r="277" spans="1:3" x14ac:dyDescent="0.45">
      <c r="A277" t="s">
        <v>148</v>
      </c>
      <c r="B277" t="s">
        <v>140</v>
      </c>
      <c r="C277" s="7">
        <v>0.57999999999999996</v>
      </c>
    </row>
    <row r="278" spans="1:3" x14ac:dyDescent="0.45">
      <c r="A278" t="s">
        <v>148</v>
      </c>
      <c r="B278" t="s">
        <v>41</v>
      </c>
      <c r="C278" s="7">
        <v>0.2</v>
      </c>
    </row>
    <row r="279" spans="1:3" x14ac:dyDescent="0.45">
      <c r="A279" t="s">
        <v>148</v>
      </c>
      <c r="B279" t="s">
        <v>141</v>
      </c>
      <c r="C279" s="7">
        <v>0.22</v>
      </c>
    </row>
    <row r="280" spans="1:3" x14ac:dyDescent="0.45">
      <c r="A280" t="s">
        <v>98</v>
      </c>
      <c r="B280" t="s">
        <v>141</v>
      </c>
      <c r="C280" s="7">
        <v>0.42</v>
      </c>
    </row>
    <row r="281" spans="1:3" x14ac:dyDescent="0.45">
      <c r="A281" t="s">
        <v>98</v>
      </c>
      <c r="B281" t="s">
        <v>41</v>
      </c>
      <c r="C281" s="7">
        <v>0.2</v>
      </c>
    </row>
    <row r="282" spans="1:3" x14ac:dyDescent="0.45">
      <c r="A282" t="s">
        <v>98</v>
      </c>
      <c r="B282" t="s">
        <v>140</v>
      </c>
      <c r="C282" s="7">
        <v>0.38</v>
      </c>
    </row>
    <row r="283" spans="1:3" x14ac:dyDescent="0.45">
      <c r="A283" t="s">
        <v>68</v>
      </c>
      <c r="B283" t="s">
        <v>141</v>
      </c>
      <c r="C283" s="7">
        <v>0.05</v>
      </c>
    </row>
    <row r="284" spans="1:3" x14ac:dyDescent="0.45">
      <c r="A284" t="s">
        <v>68</v>
      </c>
      <c r="B284" t="s">
        <v>140</v>
      </c>
      <c r="C284" s="7">
        <v>0.95</v>
      </c>
    </row>
    <row r="285" spans="1:3" x14ac:dyDescent="0.45">
      <c r="A285" t="s">
        <v>131</v>
      </c>
      <c r="B285" t="s">
        <v>141</v>
      </c>
      <c r="C285" s="7">
        <v>1</v>
      </c>
    </row>
    <row r="286" spans="1:3" x14ac:dyDescent="0.45">
      <c r="A286" t="s">
        <v>73</v>
      </c>
      <c r="B286" t="s">
        <v>41</v>
      </c>
      <c r="C286" s="7">
        <v>1</v>
      </c>
    </row>
    <row r="287" spans="1:3" x14ac:dyDescent="0.45">
      <c r="A287" t="s">
        <v>103</v>
      </c>
      <c r="B287" t="s">
        <v>141</v>
      </c>
      <c r="C287" s="7">
        <v>1</v>
      </c>
    </row>
    <row r="288" spans="1:3" x14ac:dyDescent="0.45">
      <c r="A288" t="s">
        <v>86</v>
      </c>
      <c r="B288" t="s">
        <v>41</v>
      </c>
      <c r="C288" s="7">
        <v>1</v>
      </c>
    </row>
    <row r="289" spans="1:3" x14ac:dyDescent="0.45">
      <c r="A289" t="s">
        <v>76</v>
      </c>
      <c r="B289" t="s">
        <v>140</v>
      </c>
      <c r="C289" s="7">
        <v>1</v>
      </c>
    </row>
    <row r="290" spans="1:3" x14ac:dyDescent="0.45">
      <c r="A290" t="s">
        <v>121</v>
      </c>
      <c r="B290" t="s">
        <v>41</v>
      </c>
      <c r="C290" s="7">
        <v>1</v>
      </c>
    </row>
    <row r="291" spans="1:3" x14ac:dyDescent="0.45">
      <c r="A291" t="s">
        <v>122</v>
      </c>
      <c r="B291" t="s">
        <v>140</v>
      </c>
      <c r="C291" s="7">
        <v>0.55000000000000004</v>
      </c>
    </row>
    <row r="292" spans="1:3" x14ac:dyDescent="0.45">
      <c r="A292" t="s">
        <v>122</v>
      </c>
      <c r="B292" t="s">
        <v>41</v>
      </c>
      <c r="C292" s="7">
        <v>0.2</v>
      </c>
    </row>
    <row r="293" spans="1:3" x14ac:dyDescent="0.45">
      <c r="A293" t="s">
        <v>122</v>
      </c>
      <c r="B293" t="s">
        <v>141</v>
      </c>
      <c r="C293" s="7">
        <v>0.25</v>
      </c>
    </row>
    <row r="294" spans="1:3" x14ac:dyDescent="0.45">
      <c r="A294" t="s">
        <v>77</v>
      </c>
      <c r="B294" t="s">
        <v>140</v>
      </c>
      <c r="C294" s="7">
        <v>1</v>
      </c>
    </row>
    <row r="295" spans="1:3" x14ac:dyDescent="0.45">
      <c r="A295" t="s">
        <v>11</v>
      </c>
      <c r="B295" t="s">
        <v>41</v>
      </c>
      <c r="C295" s="7">
        <v>1</v>
      </c>
    </row>
    <row r="296" spans="1:3" x14ac:dyDescent="0.45">
      <c r="A296" t="s">
        <v>149</v>
      </c>
      <c r="B296" t="s">
        <v>140</v>
      </c>
      <c r="C296" s="7">
        <v>0.31</v>
      </c>
    </row>
    <row r="297" spans="1:3" x14ac:dyDescent="0.45">
      <c r="A297" t="s">
        <v>149</v>
      </c>
      <c r="B297" t="s">
        <v>141</v>
      </c>
      <c r="C297" s="7">
        <v>0.69</v>
      </c>
    </row>
    <row r="298" spans="1:3" x14ac:dyDescent="0.45">
      <c r="A298" t="s">
        <v>88</v>
      </c>
      <c r="B298" t="s">
        <v>141</v>
      </c>
      <c r="C298" s="7">
        <v>0.17</v>
      </c>
    </row>
    <row r="299" spans="1:3" x14ac:dyDescent="0.45">
      <c r="A299" t="s">
        <v>88</v>
      </c>
      <c r="B299" t="s">
        <v>140</v>
      </c>
      <c r="C299" s="7">
        <v>0.63</v>
      </c>
    </row>
    <row r="300" spans="1:3" x14ac:dyDescent="0.45">
      <c r="A300" t="s">
        <v>88</v>
      </c>
      <c r="B300" t="s">
        <v>41</v>
      </c>
      <c r="C300" s="7">
        <v>0.2</v>
      </c>
    </row>
    <row r="301" spans="1:3" x14ac:dyDescent="0.45">
      <c r="A301" t="s">
        <v>78</v>
      </c>
      <c r="B301" t="s">
        <v>41</v>
      </c>
      <c r="C301" s="7">
        <v>1</v>
      </c>
    </row>
    <row r="302" spans="1:3" x14ac:dyDescent="0.45">
      <c r="A302" t="s">
        <v>85</v>
      </c>
      <c r="B302" t="s">
        <v>141</v>
      </c>
      <c r="C302" s="7">
        <v>0.13</v>
      </c>
    </row>
    <row r="303" spans="1:3" x14ac:dyDescent="0.45">
      <c r="A303" t="s">
        <v>85</v>
      </c>
      <c r="B303" t="s">
        <v>140</v>
      </c>
      <c r="C303" s="7">
        <v>0.4</v>
      </c>
    </row>
    <row r="304" spans="1:3" x14ac:dyDescent="0.45">
      <c r="A304" t="s">
        <v>85</v>
      </c>
      <c r="B304" t="s">
        <v>41</v>
      </c>
      <c r="C304" s="7">
        <v>0.47</v>
      </c>
    </row>
    <row r="305" spans="1:3" x14ac:dyDescent="0.45">
      <c r="A305" t="s">
        <v>64</v>
      </c>
      <c r="B305" t="s">
        <v>140</v>
      </c>
      <c r="C305" s="7">
        <v>1</v>
      </c>
    </row>
    <row r="306" spans="1:3" x14ac:dyDescent="0.45">
      <c r="A306" t="s">
        <v>40</v>
      </c>
      <c r="B306" t="s">
        <v>41</v>
      </c>
      <c r="C306" s="7">
        <v>1</v>
      </c>
    </row>
    <row r="307" spans="1:3" x14ac:dyDescent="0.45">
      <c r="A307" t="s">
        <v>69</v>
      </c>
      <c r="B307" t="s">
        <v>140</v>
      </c>
      <c r="C307" s="7">
        <v>1</v>
      </c>
    </row>
    <row r="308" spans="1:3" x14ac:dyDescent="0.45">
      <c r="A308" t="s">
        <v>93</v>
      </c>
      <c r="B308" t="s">
        <v>141</v>
      </c>
      <c r="C308" s="7">
        <v>1</v>
      </c>
    </row>
    <row r="309" spans="1:3" x14ac:dyDescent="0.45">
      <c r="A309" t="s">
        <v>42</v>
      </c>
      <c r="B309" t="s">
        <v>141</v>
      </c>
      <c r="C309" s="7">
        <v>1</v>
      </c>
    </row>
    <row r="310" spans="1:3" x14ac:dyDescent="0.45">
      <c r="A310" t="s">
        <v>43</v>
      </c>
      <c r="B310" t="s">
        <v>140</v>
      </c>
      <c r="C310" s="7">
        <v>1</v>
      </c>
    </row>
    <row r="311" spans="1:3" x14ac:dyDescent="0.45">
      <c r="A311" t="s">
        <v>72</v>
      </c>
      <c r="B311" t="s">
        <v>140</v>
      </c>
      <c r="C311" s="7">
        <v>1</v>
      </c>
    </row>
    <row r="312" spans="1:3" x14ac:dyDescent="0.45">
      <c r="A312" t="s">
        <v>44</v>
      </c>
      <c r="B312" t="s">
        <v>41</v>
      </c>
      <c r="C312" s="7">
        <v>1</v>
      </c>
    </row>
    <row r="313" spans="1:3" x14ac:dyDescent="0.45">
      <c r="A313" t="s">
        <v>45</v>
      </c>
      <c r="B313" t="s">
        <v>140</v>
      </c>
      <c r="C313" s="7">
        <v>0.91</v>
      </c>
    </row>
    <row r="314" spans="1:3" x14ac:dyDescent="0.45">
      <c r="A314" t="s">
        <v>45</v>
      </c>
      <c r="B314" t="s">
        <v>141</v>
      </c>
      <c r="C314" s="7">
        <v>0.09</v>
      </c>
    </row>
    <row r="315" spans="1:3" x14ac:dyDescent="0.45">
      <c r="A315" t="s">
        <v>119</v>
      </c>
      <c r="B315" t="s">
        <v>41</v>
      </c>
      <c r="C315" s="7">
        <v>1</v>
      </c>
    </row>
    <row r="316" spans="1:3" x14ac:dyDescent="0.45">
      <c r="A316" t="s">
        <v>143</v>
      </c>
      <c r="B316" t="s">
        <v>140</v>
      </c>
      <c r="C316" s="7">
        <v>1</v>
      </c>
    </row>
    <row r="317" spans="1:3" x14ac:dyDescent="0.45">
      <c r="A317" t="s">
        <v>46</v>
      </c>
      <c r="B317" t="s">
        <v>140</v>
      </c>
      <c r="C317" s="7">
        <v>0.62</v>
      </c>
    </row>
    <row r="318" spans="1:3" x14ac:dyDescent="0.45">
      <c r="A318" t="s">
        <v>46</v>
      </c>
      <c r="B318" t="s">
        <v>41</v>
      </c>
      <c r="C318" s="7">
        <v>0.1</v>
      </c>
    </row>
    <row r="319" spans="1:3" x14ac:dyDescent="0.45">
      <c r="A319" t="s">
        <v>46</v>
      </c>
      <c r="B319" t="s">
        <v>141</v>
      </c>
      <c r="C319" s="7">
        <v>0.28000000000000003</v>
      </c>
    </row>
    <row r="320" spans="1:3" x14ac:dyDescent="0.45">
      <c r="A320" t="s">
        <v>47</v>
      </c>
      <c r="B320" t="s">
        <v>140</v>
      </c>
      <c r="C320" s="7">
        <v>0.72</v>
      </c>
    </row>
    <row r="321" spans="1:3" x14ac:dyDescent="0.45">
      <c r="A321" t="s">
        <v>47</v>
      </c>
      <c r="B321" t="s">
        <v>41</v>
      </c>
      <c r="C321" s="7">
        <v>0.06</v>
      </c>
    </row>
    <row r="322" spans="1:3" x14ac:dyDescent="0.45">
      <c r="A322" t="s">
        <v>47</v>
      </c>
      <c r="B322" t="s">
        <v>141</v>
      </c>
      <c r="C322" s="7">
        <v>0.22</v>
      </c>
    </row>
    <row r="323" spans="1:3" x14ac:dyDescent="0.45">
      <c r="A323" t="s">
        <v>120</v>
      </c>
      <c r="B323" t="s">
        <v>41</v>
      </c>
      <c r="C323" s="7">
        <v>1</v>
      </c>
    </row>
    <row r="324" spans="1:3" x14ac:dyDescent="0.45">
      <c r="A324" t="s">
        <v>92</v>
      </c>
      <c r="B324" t="s">
        <v>41</v>
      </c>
      <c r="C324" s="7">
        <v>1</v>
      </c>
    </row>
    <row r="325" spans="1:3" x14ac:dyDescent="0.45">
      <c r="A325" t="s">
        <v>92</v>
      </c>
      <c r="B325" t="s">
        <v>41</v>
      </c>
      <c r="C325" s="7">
        <v>1</v>
      </c>
    </row>
    <row r="326" spans="1:3" x14ac:dyDescent="0.45">
      <c r="A326" t="s">
        <v>89</v>
      </c>
      <c r="B326" t="s">
        <v>41</v>
      </c>
      <c r="C326" s="7">
        <v>1</v>
      </c>
    </row>
    <row r="327" spans="1:3" x14ac:dyDescent="0.45">
      <c r="A327" t="s">
        <v>95</v>
      </c>
      <c r="B327" t="s">
        <v>140</v>
      </c>
      <c r="C327" s="7">
        <v>0.9</v>
      </c>
    </row>
    <row r="328" spans="1:3" x14ac:dyDescent="0.45">
      <c r="A328" t="s">
        <v>95</v>
      </c>
      <c r="B328" t="s">
        <v>141</v>
      </c>
      <c r="C328" s="7">
        <v>0.1</v>
      </c>
    </row>
    <row r="329" spans="1:3" x14ac:dyDescent="0.45">
      <c r="A329" t="s">
        <v>95</v>
      </c>
      <c r="B329" t="s">
        <v>140</v>
      </c>
      <c r="C329" s="7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E9A6-F476-4DF7-A227-E9CA1F583A65}">
  <dimension ref="A2:S23"/>
  <sheetViews>
    <sheetView workbookViewId="0">
      <selection activeCell="H11" sqref="H11"/>
    </sheetView>
  </sheetViews>
  <sheetFormatPr defaultRowHeight="14.25" x14ac:dyDescent="0.45"/>
  <cols>
    <col min="1" max="1" width="21.59765625" bestFit="1" customWidth="1"/>
    <col min="2" max="2" width="10.33203125" bestFit="1" customWidth="1"/>
    <col min="3" max="4" width="10.265625" bestFit="1" customWidth="1"/>
    <col min="5" max="5" width="21.3984375" bestFit="1" customWidth="1"/>
    <col min="6" max="6" width="10.265625" bestFit="1" customWidth="1"/>
    <col min="8" max="8" width="8.46484375" customWidth="1"/>
    <col min="9" max="9" width="10.6640625" customWidth="1"/>
    <col min="10" max="10" width="12.265625" customWidth="1"/>
    <col min="11" max="11" width="10.265625" bestFit="1" customWidth="1"/>
    <col min="12" max="12" width="12.86328125" customWidth="1"/>
    <col min="13" max="13" width="9.33203125" customWidth="1"/>
    <col min="14" max="14" width="10.9296875" customWidth="1"/>
    <col min="16" max="16" width="10.265625" bestFit="1" customWidth="1"/>
    <col min="17" max="17" width="10.06640625" customWidth="1"/>
    <col min="18" max="19" width="10.265625" bestFit="1" customWidth="1"/>
  </cols>
  <sheetData>
    <row r="2" spans="1:19" x14ac:dyDescent="0.45">
      <c r="A2" s="3" t="s">
        <v>13</v>
      </c>
      <c r="B2" s="9">
        <f>B6-F6</f>
        <v>2315.5499999999997</v>
      </c>
    </row>
    <row r="3" spans="1:19" x14ac:dyDescent="0.45">
      <c r="A3" s="3" t="s">
        <v>70</v>
      </c>
      <c r="B3" s="9">
        <f>B7-F7</f>
        <v>1918.8000000000002</v>
      </c>
    </row>
    <row r="4" spans="1:19" x14ac:dyDescent="0.45">
      <c r="B4" s="9"/>
    </row>
    <row r="5" spans="1:19" ht="18.399999999999999" thickBot="1" x14ac:dyDescent="0.6">
      <c r="A5" s="4" t="s">
        <v>3</v>
      </c>
      <c r="B5" s="9"/>
      <c r="E5" s="4" t="s">
        <v>10</v>
      </c>
      <c r="H5" t="s">
        <v>24</v>
      </c>
      <c r="J5">
        <v>12</v>
      </c>
    </row>
    <row r="6" spans="1:19" ht="14.65" thickBot="1" x14ac:dyDescent="0.5">
      <c r="A6" s="3" t="s">
        <v>2</v>
      </c>
      <c r="B6" s="9">
        <f>SUM(B9:B19)</f>
        <v>5016.6666666666661</v>
      </c>
      <c r="E6" s="3" t="s">
        <v>2</v>
      </c>
      <c r="F6" s="9">
        <f>SUM(F9:F19)</f>
        <v>2701.1166666666663</v>
      </c>
      <c r="J6" s="8">
        <f>(F6+C23)*J5</f>
        <v>40333.999999999993</v>
      </c>
    </row>
    <row r="7" spans="1:19" x14ac:dyDescent="0.45">
      <c r="A7" s="3" t="s">
        <v>50</v>
      </c>
      <c r="B7" s="9">
        <f>SUM(B9:B12)</f>
        <v>4400</v>
      </c>
      <c r="E7" s="3" t="s">
        <v>50</v>
      </c>
      <c r="F7" s="9">
        <f>SUM(F9:F17)</f>
        <v>2481.1999999999998</v>
      </c>
      <c r="J7" s="1"/>
    </row>
    <row r="8" spans="1:19" ht="18" x14ac:dyDescent="0.55000000000000004">
      <c r="B8" s="9"/>
      <c r="F8" s="2"/>
      <c r="H8" s="4" t="s">
        <v>52</v>
      </c>
    </row>
    <row r="9" spans="1:19" x14ac:dyDescent="0.45">
      <c r="A9" t="s">
        <v>4</v>
      </c>
      <c r="B9" s="9">
        <f>550</f>
        <v>550</v>
      </c>
      <c r="E9" t="s">
        <v>11</v>
      </c>
      <c r="F9" s="9">
        <v>881.2</v>
      </c>
      <c r="H9" t="s">
        <v>48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  <c r="P9" t="s">
        <v>63</v>
      </c>
      <c r="Q9" t="s">
        <v>60</v>
      </c>
      <c r="R9" t="s">
        <v>61</v>
      </c>
      <c r="S9" t="s">
        <v>62</v>
      </c>
    </row>
    <row r="10" spans="1:19" x14ac:dyDescent="0.45">
      <c r="A10" t="s">
        <v>5</v>
      </c>
      <c r="B10" s="9">
        <v>1100</v>
      </c>
      <c r="E10" t="s">
        <v>14</v>
      </c>
      <c r="F10" s="9">
        <v>350</v>
      </c>
      <c r="H10" s="10">
        <v>45597</v>
      </c>
      <c r="I10" s="9">
        <v>4400</v>
      </c>
      <c r="J10" s="9">
        <v>2481.1999999999998</v>
      </c>
      <c r="K10" s="9">
        <v>4814.7299999999996</v>
      </c>
      <c r="L10" s="9">
        <v>2803.09</v>
      </c>
      <c r="M10" s="11">
        <f>K10-I10</f>
        <v>414.72999999999956</v>
      </c>
      <c r="N10" s="11">
        <f>J10-L10</f>
        <v>-321.89000000000033</v>
      </c>
      <c r="O10" s="11">
        <f>M10+N10</f>
        <v>92.839999999999236</v>
      </c>
      <c r="P10" s="11">
        <v>-1253</v>
      </c>
      <c r="Q10" t="s">
        <v>49</v>
      </c>
      <c r="R10" s="11">
        <f>Table3[[#This Row],[Actual IN]]*0.33</f>
        <v>1588.8608999999999</v>
      </c>
      <c r="S10" s="11">
        <f>Table3[[#This Row],[Actual IN]]-Table3[[#This Row],[ACTUAL OUT]]+Table3[[#This Row],[Ammort]]</f>
        <v>758.63999999999942</v>
      </c>
    </row>
    <row r="11" spans="1:19" x14ac:dyDescent="0.45">
      <c r="A11" t="s">
        <v>6</v>
      </c>
      <c r="B11" s="9">
        <v>150</v>
      </c>
      <c r="E11" t="s">
        <v>18</v>
      </c>
      <c r="F11" s="9">
        <v>200</v>
      </c>
    </row>
    <row r="12" spans="1:19" x14ac:dyDescent="0.45">
      <c r="A12" t="s">
        <v>7</v>
      </c>
      <c r="B12" s="9">
        <v>2600</v>
      </c>
      <c r="E12" t="s">
        <v>15</v>
      </c>
      <c r="F12" s="9">
        <v>250</v>
      </c>
    </row>
    <row r="13" spans="1:19" x14ac:dyDescent="0.45">
      <c r="A13" t="s">
        <v>8</v>
      </c>
      <c r="B13" s="9">
        <f>B10*2/12</f>
        <v>183.33333333333334</v>
      </c>
      <c r="E13" t="s">
        <v>17</v>
      </c>
      <c r="F13" s="9">
        <v>150</v>
      </c>
    </row>
    <row r="14" spans="1:19" x14ac:dyDescent="0.45">
      <c r="A14" t="s">
        <v>9</v>
      </c>
      <c r="B14" s="9">
        <f>B12*2/12</f>
        <v>433.33333333333331</v>
      </c>
      <c r="E14" t="s">
        <v>22</v>
      </c>
      <c r="F14" s="9">
        <v>150</v>
      </c>
    </row>
    <row r="15" spans="1:19" x14ac:dyDescent="0.45">
      <c r="E15" t="s">
        <v>19</v>
      </c>
      <c r="F15" s="9">
        <v>100</v>
      </c>
      <c r="L15" s="11"/>
    </row>
    <row r="16" spans="1:19" x14ac:dyDescent="0.45">
      <c r="E16" t="s">
        <v>16</v>
      </c>
      <c r="F16" s="9">
        <v>200</v>
      </c>
    </row>
    <row r="17" spans="1:6" x14ac:dyDescent="0.45">
      <c r="E17" t="s">
        <v>21</v>
      </c>
      <c r="F17" s="9">
        <v>200</v>
      </c>
    </row>
    <row r="18" spans="1:6" x14ac:dyDescent="0.45">
      <c r="E18" t="s">
        <v>49</v>
      </c>
      <c r="F18" s="9">
        <f>1253/12</f>
        <v>104.41666666666667</v>
      </c>
    </row>
    <row r="19" spans="1:6" x14ac:dyDescent="0.45">
      <c r="E19" s="2" t="s">
        <v>51</v>
      </c>
      <c r="F19" s="9">
        <f>ROUNDUP(B9*12*0.21,2)/12</f>
        <v>115.5</v>
      </c>
    </row>
    <row r="20" spans="1:6" x14ac:dyDescent="0.45">
      <c r="E20" s="2"/>
    </row>
    <row r="21" spans="1:6" x14ac:dyDescent="0.45">
      <c r="E21" s="2"/>
    </row>
    <row r="22" spans="1:6" x14ac:dyDescent="0.45">
      <c r="A22" t="s">
        <v>12</v>
      </c>
      <c r="B22" s="5">
        <v>0.33</v>
      </c>
      <c r="C22" s="2">
        <f>B6*B22</f>
        <v>1655.4999999999998</v>
      </c>
      <c r="E22" s="2"/>
    </row>
    <row r="23" spans="1:6" x14ac:dyDescent="0.45">
      <c r="A23" t="s">
        <v>20</v>
      </c>
      <c r="C23" s="1">
        <f>B2-C22</f>
        <v>660.05</v>
      </c>
      <c r="E2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Strumenti</vt:lpstr>
      <vt:lpstr>Strumenti_detail</vt:lpstr>
      <vt:lpstr>Budget Mensile</vt:lpstr>
      <vt:lpstr>Geography</vt:lpstr>
      <vt:lpstr>Strumenti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Bertaccini</dc:creator>
  <cp:lastModifiedBy>Simone Bertaccini</cp:lastModifiedBy>
  <dcterms:created xsi:type="dcterms:W3CDTF">2024-11-11T10:34:19Z</dcterms:created>
  <dcterms:modified xsi:type="dcterms:W3CDTF">2025-09-29T20:05:33Z</dcterms:modified>
</cp:coreProperties>
</file>