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pivotTables/pivotTable6.xml" ContentType="application/vnd.openxmlformats-officedocument.spreadsheetml.pivotTable+xml"/>
  <Override PartName="/xl/tables/table8.xml" ContentType="application/vnd.openxmlformats-officedocument.spreadsheetml.table+xml"/>
  <Override PartName="/xl/pivotTables/pivotTable7.xml" ContentType="application/vnd.openxmlformats-officedocument.spreadsheetml.pivotTable+xml"/>
  <Override PartName="/xl/tables/table9.xml" ContentType="application/vnd.openxmlformats-officedocument.spreadsheetml.table+xml"/>
  <Override PartName="/xl/pivotTables/pivotTable8.xml" ContentType="application/vnd.openxmlformats-officedocument.spreadsheetml.pivotTable+xml"/>
  <Override PartName="/xl/tables/table10.xml" ContentType="application/vnd.openxmlformats-officedocument.spreadsheetml.table+xml"/>
  <Override PartName="/xl/pivotTables/pivotTable9.xml" ContentType="application/vnd.openxmlformats-officedocument.spreadsheetml.pivotTable+xml"/>
  <Override PartName="/xl/tables/table11.xml" ContentType="application/vnd.openxmlformats-officedocument.spreadsheetml.table+xml"/>
  <Override PartName="/xl/pivotTables/pivotTable10.xml" ContentType="application/vnd.openxmlformats-officedocument.spreadsheetml.pivotTable+xml"/>
  <Override PartName="/xl/tables/table12.xml" ContentType="application/vnd.openxmlformats-officedocument.spreadsheetml.table+xml"/>
  <Override PartName="/xl/pivotTables/pivotTable11.xml" ContentType="application/vnd.openxmlformats-officedocument.spreadsheetml.pivotTable+xml"/>
  <Override PartName="/xl/tables/table13.xml" ContentType="application/vnd.openxmlformats-officedocument.spreadsheetml.table+xml"/>
  <Override PartName="/xl/pivotTables/pivotTable12.xml" ContentType="application/vnd.openxmlformats-officedocument.spreadsheetml.pivotTable+xml"/>
  <Override PartName="/xl/tables/table14.xml" ContentType="application/vnd.openxmlformats-officedocument.spreadsheetml.table+xml"/>
  <Override PartName="/xl/pivotTables/pivotTable13.xml" ContentType="application/vnd.openxmlformats-officedocument.spreadsheetml.pivotTable+xml"/>
  <Override PartName="/xl/tables/table15.xml" ContentType="application/vnd.openxmlformats-officedocument.spreadsheetml.table+xml"/>
  <Override PartName="/xl/pivotTables/pivotTable14.xml" ContentType="application/vnd.openxmlformats-officedocument.spreadsheetml.pivotTable+xml"/>
  <Override PartName="/xl/tables/table16.xml" ContentType="application/vnd.openxmlformats-officedocument.spreadsheetml.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nalisiFlussi\"/>
    </mc:Choice>
  </mc:AlternateContent>
  <xr:revisionPtr revIDLastSave="0" documentId="13_ncr:1_{DB746481-1A53-471D-AC32-7CD5A5F2EB86}" xr6:coauthVersionLast="47" xr6:coauthVersionMax="47" xr10:uidLastSave="{00000000-0000-0000-0000-000000000000}"/>
  <bookViews>
    <workbookView xWindow="2355" yWindow="-21720" windowWidth="51840" windowHeight="21120" firstSheet="4" activeTab="20" xr2:uid="{12BCA51F-EE23-4CDE-BE48-5141C7779E08}"/>
  </bookViews>
  <sheets>
    <sheet name="Budget Mensile" sheetId="12" r:id="rId1"/>
    <sheet name="11-2024" sheetId="1" r:id="rId2"/>
    <sheet name="Pivot 11-2024" sheetId="35" r:id="rId3"/>
    <sheet name="12-2024" sheetId="4" r:id="rId4"/>
    <sheet name="Pivot 12-2024" sheetId="5" r:id="rId5"/>
    <sheet name="01-2025" sheetId="6" r:id="rId6"/>
    <sheet name="Pivot 01-2025" sheetId="7" r:id="rId7"/>
    <sheet name="02-2025" sheetId="8" r:id="rId8"/>
    <sheet name="Pivot 02-2025" sheetId="9" r:id="rId9"/>
    <sheet name="03-2025" sheetId="10" r:id="rId10"/>
    <sheet name="Pivot 03-2025" sheetId="11" r:id="rId11"/>
    <sheet name="04-2025" sheetId="15" r:id="rId12"/>
    <sheet name="Pivot 04-2025" sheetId="16" r:id="rId13"/>
    <sheet name="05-2025" sheetId="13" r:id="rId14"/>
    <sheet name="Pivot 05-2025" sheetId="14" r:id="rId15"/>
    <sheet name="06-2025" sheetId="17" r:id="rId16"/>
    <sheet name="Pivot 06-2025" sheetId="20" r:id="rId17"/>
    <sheet name="07-2025" sheetId="18" r:id="rId18"/>
    <sheet name="Pivot 07-2025" sheetId="19" r:id="rId19"/>
    <sheet name="08-2025" sheetId="21" r:id="rId20"/>
    <sheet name="Pivot 08-2025" sheetId="23" r:id="rId21"/>
    <sheet name="Ferie Islanda" sheetId="24" r:id="rId22"/>
    <sheet name="09-2025" sheetId="25" r:id="rId23"/>
    <sheet name="Pivot 09-2025" sheetId="27" r:id="rId24"/>
    <sheet name="10-2025" sheetId="26" r:id="rId25"/>
    <sheet name="Pivot 10-2025" sheetId="28" r:id="rId26"/>
    <sheet name="11-2025" sheetId="29" r:id="rId27"/>
    <sheet name="Pivot 11-2025" sheetId="30" r:id="rId28"/>
    <sheet name="12-2025" sheetId="31" r:id="rId29"/>
    <sheet name="Pivot 12-2025" sheetId="32" r:id="rId30"/>
    <sheet name="01-2026" sheetId="33" r:id="rId31"/>
    <sheet name="Pivot 01-2026" sheetId="34" r:id="rId32"/>
  </sheets>
  <calcPr calcId="191028"/>
  <pivotCaches>
    <pivotCache cacheId="62" r:id="rId33"/>
    <pivotCache cacheId="68" r:id="rId34"/>
    <pivotCache cacheId="74" r:id="rId35"/>
    <pivotCache cacheId="80" r:id="rId36"/>
    <pivotCache cacheId="86" r:id="rId37"/>
    <pivotCache cacheId="92" r:id="rId38"/>
    <pivotCache cacheId="98" r:id="rId39"/>
    <pivotCache cacheId="104" r:id="rId40"/>
    <pivotCache cacheId="110" r:id="rId41"/>
    <pivotCache cacheId="116" r:id="rId42"/>
    <pivotCache cacheId="122" r:id="rId43"/>
    <pivotCache cacheId="128" r:id="rId44"/>
    <pivotCache cacheId="134" r:id="rId45"/>
    <pivotCache cacheId="140" r:id="rId46"/>
    <pivotCache cacheId="147" r:id="rId4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4" l="1"/>
  <c r="D23" i="24" s="1"/>
  <c r="D25" i="24" s="1"/>
  <c r="D20" i="24"/>
  <c r="D19" i="24"/>
  <c r="K14" i="12"/>
  <c r="L14" i="12" s="1"/>
  <c r="M14" i="12" s="1"/>
  <c r="K13" i="12"/>
  <c r="L13" i="12" s="1"/>
  <c r="M13" i="12" s="1"/>
  <c r="K12" i="12"/>
  <c r="L12" i="12" s="1"/>
  <c r="M12" i="12" s="1"/>
  <c r="K10" i="12"/>
  <c r="L10" i="12" s="1"/>
  <c r="M10" i="12" s="1"/>
  <c r="K11" i="12"/>
  <c r="L11" i="12" s="1"/>
  <c r="M11" i="12" s="1"/>
  <c r="F18" i="12"/>
  <c r="B14" i="12"/>
  <c r="B13" i="12"/>
  <c r="B9" i="12"/>
  <c r="F7" i="12"/>
  <c r="F19" i="12" l="1"/>
  <c r="F6" i="12" s="1"/>
  <c r="B7" i="12"/>
  <c r="B3" i="12" s="1"/>
  <c r="B6" i="12"/>
  <c r="B2" i="12" l="1"/>
  <c r="C22" i="12"/>
  <c r="C23" i="12" l="1"/>
  <c r="J6" i="12" s="1"/>
</calcChain>
</file>

<file path=xl/sharedStrings.xml><?xml version="1.0" encoding="utf-8"?>
<sst xmlns="http://schemas.openxmlformats.org/spreadsheetml/2006/main" count="7826" uniqueCount="1699">
  <si>
    <t>Bilancio</t>
  </si>
  <si>
    <t>Bilancio non ammortizzato</t>
  </si>
  <si>
    <t>Entrate</t>
  </si>
  <si>
    <t>Uscite</t>
  </si>
  <si>
    <t>Fondo emergenza mesi</t>
  </si>
  <si>
    <t>Totale</t>
  </si>
  <si>
    <t>Non ammortizzate</t>
  </si>
  <si>
    <t>Scostamenti mensili</t>
  </si>
  <si>
    <t>Affitto Roma</t>
  </si>
  <si>
    <t>Mutuo</t>
  </si>
  <si>
    <t>Mese</t>
  </si>
  <si>
    <t>Tot</t>
  </si>
  <si>
    <t>Delta Budget</t>
  </si>
  <si>
    <t>Delta budget  invest</t>
  </si>
  <si>
    <t>Stipendio Chiara</t>
  </si>
  <si>
    <t>Alimentari</t>
  </si>
  <si>
    <t>Affitto Roncalceci</t>
  </si>
  <si>
    <t>Salute</t>
  </si>
  <si>
    <t>Stipendio Simone</t>
  </si>
  <si>
    <t>Animali</t>
  </si>
  <si>
    <t>Mensilità aggiuntive Chiara</t>
  </si>
  <si>
    <t>Bollette</t>
  </si>
  <si>
    <t>Mensilità aggiuntive Simone</t>
  </si>
  <si>
    <t>Shopping/Abbigliamento</t>
  </si>
  <si>
    <t>Auto</t>
  </si>
  <si>
    <t>Ristoranti</t>
  </si>
  <si>
    <t>Manutenzione casa</t>
  </si>
  <si>
    <t>IMU Roma</t>
  </si>
  <si>
    <t>Tasse Affitto</t>
  </si>
  <si>
    <t>Allocazione Risparmio</t>
  </si>
  <si>
    <t>Per varie</t>
  </si>
  <si>
    <t>Codice identificativo</t>
  </si>
  <si>
    <t>Data operazione</t>
  </si>
  <si>
    <t>Data valuta</t>
  </si>
  <si>
    <t>Descrizione</t>
  </si>
  <si>
    <t>Divisa</t>
  </si>
  <si>
    <t>Importo</t>
  </si>
  <si>
    <t>Escluso</t>
  </si>
  <si>
    <t>Categoria</t>
  </si>
  <si>
    <t>Sottocategoria</t>
  </si>
  <si>
    <t>Etichette</t>
  </si>
  <si>
    <t>1202664385</t>
  </si>
  <si>
    <t>30/11/2024</t>
  </si>
  <si>
    <t>AMERICA GRAFFITI FORLI FORLI'</t>
  </si>
  <si>
    <t>EUR</t>
  </si>
  <si>
    <t>Bar e ristoranti</t>
  </si>
  <si>
    <t>Pizzerie e Ristoranti</t>
  </si>
  <si>
    <t>Pagamento POS</t>
  </si>
  <si>
    <t>1202537201</t>
  </si>
  <si>
    <t>BRICOMAN ITALIA RAVENNA</t>
  </si>
  <si>
    <t>Casa e famiglia</t>
  </si>
  <si>
    <t>Manutenzione e Ristrutturazioni</t>
  </si>
  <si>
    <t>24000743624559</t>
  </si>
  <si>
    <t>29/11/2024</t>
  </si>
  <si>
    <t>02/12/2024</t>
  </si>
  <si>
    <t>RIESLING VINO E CUCINA RAVENNA</t>
  </si>
  <si>
    <t>24000742217570</t>
  </si>
  <si>
    <t>STIPENDI DA Esselunga S.p.A.</t>
  </si>
  <si>
    <t>Lavoro</t>
  </si>
  <si>
    <t>-</t>
  </si>
  <si>
    <t>Bonifico</t>
  </si>
  <si>
    <t>24000743284531</t>
  </si>
  <si>
    <t>28/11/2024</t>
  </si>
  <si>
    <t>ESSELUNGA RAVENNA RAVENNA</t>
  </si>
  <si>
    <t>24000740295156</t>
  </si>
  <si>
    <t>27/11/2024</t>
  </si>
  <si>
    <t>/FOR/BERTACCINI SIMONE ROMA/INV/SALA DA MICROSOFT SRL</t>
  </si>
  <si>
    <t>24000739854350</t>
  </si>
  <si>
    <t>PREVENTIVO SCIA AUTORIMESSA A CONDOMINIO MOZART 11 13 A</t>
  </si>
  <si>
    <t>Spese condominiali</t>
  </si>
  <si>
    <t>24000741587473</t>
  </si>
  <si>
    <t>26/11/2024</t>
  </si>
  <si>
    <t>ASPITORTE ORTE</t>
  </si>
  <si>
    <t>Viaggi e trasporti</t>
  </si>
  <si>
    <t>Telepass e Pedaggi</t>
  </si>
  <si>
    <t>24000738887654</t>
  </si>
  <si>
    <t>Satispay Europe S.A. Satispay app top-up</t>
  </si>
  <si>
    <t>Trasferimenti</t>
  </si>
  <si>
    <t>Varie</t>
  </si>
  <si>
    <t>Ordine permanente di addebito</t>
  </si>
  <si>
    <t>24000740651368</t>
  </si>
  <si>
    <t>25/11/2024</t>
  </si>
  <si>
    <t>LA FIORENTINA FIANO ROMANO</t>
  </si>
  <si>
    <t>24000740562991</t>
  </si>
  <si>
    <t>ASPITMAGLIANO SABINA MAGLIANO SABI</t>
  </si>
  <si>
    <t>24000740595286</t>
  </si>
  <si>
    <t>ARCAPLANET VIA FAENTI. RAVENNA</t>
  </si>
  <si>
    <t>24000741685823</t>
  </si>
  <si>
    <t>23/11/2024</t>
  </si>
  <si>
    <t>AMZN Mktp IT 800-279-6620</t>
  </si>
  <si>
    <t>Shopping</t>
  </si>
  <si>
    <t>Pagamenti OnLine</t>
  </si>
  <si>
    <t>24000737821642</t>
  </si>
  <si>
    <t>22/11/2024</t>
  </si>
  <si>
    <t>SUPERMERCATO XX1816XX LUGO</t>
  </si>
  <si>
    <t>24000736682605</t>
  </si>
  <si>
    <t>INVESTIMENTI A SIMONE BERTACCINI</t>
  </si>
  <si>
    <t>x</t>
  </si>
  <si>
    <t>Altre spese</t>
  </si>
  <si>
    <t>24000736455167</t>
  </si>
  <si>
    <t>FT: 202421861522S DA GESTORE DEI SERVIZI ENERGETICI - GS</t>
  </si>
  <si>
    <t>Entrate varie</t>
  </si>
  <si>
    <t>24000735469113</t>
  </si>
  <si>
    <t>19/11/2024</t>
  </si>
  <si>
    <t>21/11/2024</t>
  </si>
  <si>
    <t>YONG FA RUSSI</t>
  </si>
  <si>
    <t>Abbigliamento</t>
  </si>
  <si>
    <t>24000735752544</t>
  </si>
  <si>
    <t>FUSINI SNC BAGNACAVALLO</t>
  </si>
  <si>
    <t>24000735706025</t>
  </si>
  <si>
    <t>18/11/2024</t>
  </si>
  <si>
    <t>CLESS TICKET ATM MILAN MILANO</t>
  </si>
  <si>
    <t>Parcheggi e Biglietti</t>
  </si>
  <si>
    <t>24000734872339</t>
  </si>
  <si>
    <t>20/11/2024</t>
  </si>
  <si>
    <t>SumUp *Blue live srl Milano</t>
  </si>
  <si>
    <t>24000734881144</t>
  </si>
  <si>
    <t>KIK Tessili e Non-Food SAN PIETRO IN</t>
  </si>
  <si>
    <t>24000734820445</t>
  </si>
  <si>
    <t>FORNO PASTICCERIA GAMB RAVENNA</t>
  </si>
  <si>
    <t>24000734593610</t>
  </si>
  <si>
    <t>SUPERMERCATO CONAD SAN PIETRO IN</t>
  </si>
  <si>
    <t>24000732340007</t>
  </si>
  <si>
    <t>DONAZIONE - CONTRIBUTO SPESE GATTI A I MIAONATI ODV</t>
  </si>
  <si>
    <t>Regali e Donazioni</t>
  </si>
  <si>
    <t>24000734926549</t>
  </si>
  <si>
    <t>17/11/2024</t>
  </si>
  <si>
    <t>ECOMPANYSTORE ALPHARETTA</t>
  </si>
  <si>
    <t>24000732740433</t>
  </si>
  <si>
    <t>16/11/2024</t>
  </si>
  <si>
    <t>SUSHI MOMA SRL FORLI'</t>
  </si>
  <si>
    <t>24000733825913</t>
  </si>
  <si>
    <t>24000733669221</t>
  </si>
  <si>
    <t>24000730875009</t>
  </si>
  <si>
    <t>15/11/2024</t>
  </si>
  <si>
    <t>PAG. DELEGA F24 DEL 151124</t>
  </si>
  <si>
    <t>Tasse, servizi e commissioni</t>
  </si>
  <si>
    <t>Tasse e Tributi</t>
  </si>
  <si>
    <t>F24</t>
  </si>
  <si>
    <t>24000730637906</t>
  </si>
  <si>
    <t>FONDO A SIMONE BERTACCINI</t>
  </si>
  <si>
    <t>24000730370133</t>
  </si>
  <si>
    <t>ITALY DA CITIITMX URI 15002562551078 DA ITALY</t>
  </si>
  <si>
    <t>24000731378375</t>
  </si>
  <si>
    <t>14/11/2024</t>
  </si>
  <si>
    <t>ALCOTT FORLI FORLI'</t>
  </si>
  <si>
    <t>24000730699978</t>
  </si>
  <si>
    <t>CLAYTON FORLI'</t>
  </si>
  <si>
    <t>24000731467132</t>
  </si>
  <si>
    <t>24000729519075</t>
  </si>
  <si>
    <t>13/11/2024</t>
  </si>
  <si>
    <t>FAMILA RAVENNA</t>
  </si>
  <si>
    <t>24000728497891</t>
  </si>
  <si>
    <t>PAGAMENTO SERVIZI DI MISURA POD ITP0AE60847499 FATTURA 924002233437 DEL 16-10-2024 A E DISTRIBUZIONE SPA</t>
  </si>
  <si>
    <t>24000728487657</t>
  </si>
  <si>
    <t>PAGAMENTO SERVIZI DI MISURA POD ITP0AE60847499 FATTURA 924002231375 DEL 16-10-2024 A E DISTRIBUZIONE SPA</t>
  </si>
  <si>
    <t>24000729768348</t>
  </si>
  <si>
    <t>12/11/2024</t>
  </si>
  <si>
    <t>MGVET SRL RUSSI</t>
  </si>
  <si>
    <t>24000726697637</t>
  </si>
  <si>
    <t>24000727387978</t>
  </si>
  <si>
    <t>11/11/2024</t>
  </si>
  <si>
    <t>24000726214857</t>
  </si>
  <si>
    <t>10/11/2024</t>
  </si>
  <si>
    <t>NETFLIX.COM Milan</t>
  </si>
  <si>
    <t>Abbonamenti</t>
  </si>
  <si>
    <t>24000728394725</t>
  </si>
  <si>
    <t>09/11/2024</t>
  </si>
  <si>
    <t>DECATHLON 00000537 FAENZA</t>
  </si>
  <si>
    <t>24000724122348</t>
  </si>
  <si>
    <t>06/11/2024</t>
  </si>
  <si>
    <t>08/11/2024</t>
  </si>
  <si>
    <t>24000724344782</t>
  </si>
  <si>
    <t>VILLAGGIO NATURA S.R.L RUSSI</t>
  </si>
  <si>
    <t>24000721888008</t>
  </si>
  <si>
    <t>affitto Novembre 2024 DA DELL'ORSO CARLA</t>
  </si>
  <si>
    <t>Affitto</t>
  </si>
  <si>
    <t>24000723064083</t>
  </si>
  <si>
    <t>05/11/2024</t>
  </si>
  <si>
    <t>07/11/2024</t>
  </si>
  <si>
    <t>LIDL 316 RAVENNA</t>
  </si>
  <si>
    <t>24000723368603</t>
  </si>
  <si>
    <t>Z&amp;H STORE RAVENNA</t>
  </si>
  <si>
    <t>24000723067858</t>
  </si>
  <si>
    <t>24000719040923</t>
  </si>
  <si>
    <t>ITALY DA CITIITMX URI 15002559721078 DA ITALY</t>
  </si>
  <si>
    <t>24000718170608</t>
  </si>
  <si>
    <t>24000722210299</t>
  </si>
  <si>
    <t>04/11/2024</t>
  </si>
  <si>
    <t>PASTICCERIA LE PLAISIR RAVENNA</t>
  </si>
  <si>
    <t>24000721997708</t>
  </si>
  <si>
    <t>NORAUTO RAVENNA RAVENNA RA</t>
  </si>
  <si>
    <t>Manutenzione</t>
  </si>
  <si>
    <t>24000722399200</t>
  </si>
  <si>
    <t>HAPPY CASA STORE RAVENNA</t>
  </si>
  <si>
    <t>Arredamento</t>
  </si>
  <si>
    <t>24000718867675</t>
  </si>
  <si>
    <t>ARCAPLANET RAVENNA</t>
  </si>
  <si>
    <t>24000717264549</t>
  </si>
  <si>
    <t>American Express Services Europe LTD 61005 Carta Corporate</t>
  </si>
  <si>
    <t>Altre carte di credito</t>
  </si>
  <si>
    <t>24000717467052</t>
  </si>
  <si>
    <t>02/11/2024</t>
  </si>
  <si>
    <t>PAN DE AJO BRUSCHETTER RAVENNA</t>
  </si>
  <si>
    <t>BANCO BPM S.P.A. PAGAMENTO FINANZIAMENTO 01099/05633174 BANCA</t>
  </si>
  <si>
    <t>Mutui</t>
  </si>
  <si>
    <t>(blank)</t>
  </si>
  <si>
    <t>Sum of Importo</t>
  </si>
  <si>
    <t>Grand Total</t>
  </si>
  <si>
    <t>24000758448745</t>
  </si>
  <si>
    <t>13/12/2024</t>
  </si>
  <si>
    <t>/FOR/BERTACCINI SIMONE RAVENNA/INV/SALA DA MICROSOFT SRL</t>
  </si>
  <si>
    <t>24000768625873</t>
  </si>
  <si>
    <t>24/12/2024</t>
  </si>
  <si>
    <t>24000773602489</t>
  </si>
  <si>
    <t>31/12/2024</t>
  </si>
  <si>
    <t>24000746199746</t>
  </si>
  <si>
    <t>03/12/2024</t>
  </si>
  <si>
    <t>affitto Dicembre DA DELL'ORSO CARLA</t>
  </si>
  <si>
    <t>24000758584540</t>
  </si>
  <si>
    <t>ACCONTO 13MA DA Esselunga S.p.A.</t>
  </si>
  <si>
    <t>24000773617790</t>
  </si>
  <si>
    <t>FT: 202449449524 DA GESTORE DEI SERVIZI ENERGETICI - GS</t>
  </si>
  <si>
    <t>24000765674696</t>
  </si>
  <si>
    <t>18/12/2024</t>
  </si>
  <si>
    <t>20/12/2024</t>
  </si>
  <si>
    <t>DOMUS NOVA RAVENNA</t>
  </si>
  <si>
    <t>24000771857293</t>
  </si>
  <si>
    <t>27/12/2024</t>
  </si>
  <si>
    <t>30/12/2024</t>
  </si>
  <si>
    <t>ASPITFORLI' FORLI'</t>
  </si>
  <si>
    <t>24000771963487</t>
  </si>
  <si>
    <t>ASPITRIMINI SUD RIMINI SUD</t>
  </si>
  <si>
    <t>24000751885621</t>
  </si>
  <si>
    <t>04/12/2024</t>
  </si>
  <si>
    <t>06/12/2024</t>
  </si>
  <si>
    <t>TGTG 0q5cjhw7a58k0 Copenhagen</t>
  </si>
  <si>
    <t>24000771654768</t>
  </si>
  <si>
    <t>TIGER STORE RIMINI RIMINI</t>
  </si>
  <si>
    <t>24000766986542</t>
  </si>
  <si>
    <t>23/12/2024</t>
  </si>
  <si>
    <t>24000760095375</t>
  </si>
  <si>
    <t>16/12/2024</t>
  </si>
  <si>
    <t>24000750515869</t>
  </si>
  <si>
    <t>05/12/2024</t>
  </si>
  <si>
    <t>TIGOTA' RUSSI</t>
  </si>
  <si>
    <t>24000770208603</t>
  </si>
  <si>
    <t>24000756277947</t>
  </si>
  <si>
    <t>09/12/2024</t>
  </si>
  <si>
    <t>11/12/2024</t>
  </si>
  <si>
    <t>CASA DI CURA DOMUS NOV RAVENNA</t>
  </si>
  <si>
    <t>Salute e benessere</t>
  </si>
  <si>
    <t>Assistenza medica</t>
  </si>
  <si>
    <t>24000751695010</t>
  </si>
  <si>
    <t>SUPERMERCATO IPERMERCA RAVENNA</t>
  </si>
  <si>
    <t>24000756105004</t>
  </si>
  <si>
    <t>10/12/2024</t>
  </si>
  <si>
    <t>Netflix.com Los Gatos</t>
  </si>
  <si>
    <t>24000750707873</t>
  </si>
  <si>
    <t>SumUp *zhouxiaoqin Massa lombard</t>
  </si>
  <si>
    <t>25000775386970</t>
  </si>
  <si>
    <t>02/01/2025</t>
  </si>
  <si>
    <t>24000774027862</t>
  </si>
  <si>
    <t>28/12/2024</t>
  </si>
  <si>
    <t>24000760881455</t>
  </si>
  <si>
    <t>AEROPORTO FRANCESCO BA LUGO</t>
  </si>
  <si>
    <t>24000766982826</t>
  </si>
  <si>
    <t>24000761828401</t>
  </si>
  <si>
    <t>15/12/2024</t>
  </si>
  <si>
    <t>17/12/2024</t>
  </si>
  <si>
    <t>RISTORANTE RADICCHIO R RAVENNA</t>
  </si>
  <si>
    <t>24000770907163</t>
  </si>
  <si>
    <t>24000768952538</t>
  </si>
  <si>
    <t>22/12/2024</t>
  </si>
  <si>
    <t>ATOMICO16 RAVENNA</t>
  </si>
  <si>
    <t>24000763173492</t>
  </si>
  <si>
    <t>24000757448961</t>
  </si>
  <si>
    <t>12/12/2024</t>
  </si>
  <si>
    <t>24000758769039</t>
  </si>
  <si>
    <t>SFPEM S913854B FAENZA RAVENNA</t>
  </si>
  <si>
    <t>Treni</t>
  </si>
  <si>
    <t>24000759585494</t>
  </si>
  <si>
    <t>24000757383463</t>
  </si>
  <si>
    <t>Amazon.it www.amazon.it</t>
  </si>
  <si>
    <t>24000764464976</t>
  </si>
  <si>
    <t>19/12/2024</t>
  </si>
  <si>
    <t>24000750877861</t>
  </si>
  <si>
    <t>FARMACIA SAN PANCRAZIO RUSSI</t>
  </si>
  <si>
    <t>Farmacia</t>
  </si>
  <si>
    <t>24000765471845</t>
  </si>
  <si>
    <t>SUPERMERCATO XX2742XX RUSSI</t>
  </si>
  <si>
    <t>24000767056278</t>
  </si>
  <si>
    <t>RISTORANTE CHINATOWN RAVENNA</t>
  </si>
  <si>
    <t>24000770097853</t>
  </si>
  <si>
    <t>24000766998702</t>
  </si>
  <si>
    <t>24000752849509</t>
  </si>
  <si>
    <t>AUSL ROMAGNA-RA0001 RAVENNA</t>
  </si>
  <si>
    <t>Spese mediche</t>
  </si>
  <si>
    <t>24000761402846</t>
  </si>
  <si>
    <t>Engie Italia S.p.A. Bolletta n. MM.2024.4574145.0</t>
  </si>
  <si>
    <t>24000769713921</t>
  </si>
  <si>
    <t>24000753128289</t>
  </si>
  <si>
    <t>24000769785173</t>
  </si>
  <si>
    <t>24000770244805</t>
  </si>
  <si>
    <t>GIARDINO DI GIADA FAENZA</t>
  </si>
  <si>
    <t>24000750957647</t>
  </si>
  <si>
    <t>24000745612058</t>
  </si>
  <si>
    <t>24000762249592</t>
  </si>
  <si>
    <t>PB RUSSI</t>
  </si>
  <si>
    <t>Carburante</t>
  </si>
  <si>
    <t>24000766596152</t>
  </si>
  <si>
    <t>24000750980534</t>
  </si>
  <si>
    <t>KOWA SRL CASTEL BOLOGN</t>
  </si>
  <si>
    <t>24000757358776</t>
  </si>
  <si>
    <t>24000755101764</t>
  </si>
  <si>
    <t>07/12/2024</t>
  </si>
  <si>
    <t>PAYPAL *CIPAGRICOLA 3479260142</t>
  </si>
  <si>
    <t>24000754869488</t>
  </si>
  <si>
    <t>TRASFERIMENTO CONTO A BERTACCINI SIMONE</t>
  </si>
  <si>
    <t>24000773204920</t>
  </si>
  <si>
    <t>BANCO BPM S.P.A. PAGAMENTO FINANZIAMENTO 01099/05633174 BANCA 05034 C/O BPVN PER RATA SCADENTE IL 31/12/2024</t>
  </si>
  <si>
    <t>24000750012661</t>
  </si>
  <si>
    <t>24000754867677</t>
  </si>
  <si>
    <t>Giroconti</t>
  </si>
  <si>
    <t>24000757834803</t>
  </si>
  <si>
    <t>24000749553910</t>
  </si>
  <si>
    <t>Row Labels</t>
  </si>
  <si>
    <t>25000775522689</t>
  </si>
  <si>
    <t>25000797842211</t>
  </si>
  <si>
    <t>27/01/2025</t>
  </si>
  <si>
    <t>MONETARIO A SIMONE BERTACCINI</t>
  </si>
  <si>
    <t>25000801234171</t>
  </si>
  <si>
    <t>31/01/2025</t>
  </si>
  <si>
    <t>BANCO BPM S.P.A. PAGAMENTO FINANZIAMENTO 01099/05633174 BANCA 05034 C/O BPVN PER RATA SCADENTE IL 31/01/2025</t>
  </si>
  <si>
    <t>25000779127247</t>
  </si>
  <si>
    <t>07/01/2025</t>
  </si>
  <si>
    <t>25000783917328</t>
  </si>
  <si>
    <t>08/01/2025</t>
  </si>
  <si>
    <t>10/01/2025</t>
  </si>
  <si>
    <t>BCC RAVENNATE RUSSI</t>
  </si>
  <si>
    <t>Prelievo contanti</t>
  </si>
  <si>
    <t>Prelievo Sportello Self</t>
  </si>
  <si>
    <t>25000788319544</t>
  </si>
  <si>
    <t>13/01/2025</t>
  </si>
  <si>
    <t>15/01/2025</t>
  </si>
  <si>
    <t>CICLI LEGA DI LEGA AND LUGO</t>
  </si>
  <si>
    <t>25000784798787</t>
  </si>
  <si>
    <t>POSTE ITALIANE RUSSI</t>
  </si>
  <si>
    <t>25000802989425</t>
  </si>
  <si>
    <t>03/02/2025</t>
  </si>
  <si>
    <t>25000783704619</t>
  </si>
  <si>
    <t>09/01/2025</t>
  </si>
  <si>
    <t>25000798621623</t>
  </si>
  <si>
    <t>26/01/2025</t>
  </si>
  <si>
    <t>28/01/2025</t>
  </si>
  <si>
    <t>POP PIZZA ART LUGO</t>
  </si>
  <si>
    <t>25000794775630</t>
  </si>
  <si>
    <t>21/01/2025</t>
  </si>
  <si>
    <t>23/01/2025</t>
  </si>
  <si>
    <t>25000781434258</t>
  </si>
  <si>
    <t>FLAMIGNI SRL FORLI'</t>
  </si>
  <si>
    <t>Bar</t>
  </si>
  <si>
    <t>25000790815134</t>
  </si>
  <si>
    <t>17/01/2025</t>
  </si>
  <si>
    <t>20/01/2025</t>
  </si>
  <si>
    <t>25000798624467</t>
  </si>
  <si>
    <t>25000784510382</t>
  </si>
  <si>
    <t>0037 - COOP RAVENNA TE RAVENNA RA</t>
  </si>
  <si>
    <t>25000781990033</t>
  </si>
  <si>
    <t>SICLARI LUIGI BAGNACAVALLO</t>
  </si>
  <si>
    <t>25000790268610</t>
  </si>
  <si>
    <t>25000789056485</t>
  </si>
  <si>
    <t>14/01/2025</t>
  </si>
  <si>
    <t>16/01/2025</t>
  </si>
  <si>
    <t>25000777866799</t>
  </si>
  <si>
    <t>25000778411346</t>
  </si>
  <si>
    <t>03/01/2025</t>
  </si>
  <si>
    <t>25000783937872</t>
  </si>
  <si>
    <t>EUROSPIN RUSSI</t>
  </si>
  <si>
    <t>25000799993571</t>
  </si>
  <si>
    <t>29/01/2025</t>
  </si>
  <si>
    <t>25000800952913</t>
  </si>
  <si>
    <t>30/01/2025</t>
  </si>
  <si>
    <t>25000784606110</t>
  </si>
  <si>
    <t>25000781433042</t>
  </si>
  <si>
    <t>25000777893192</t>
  </si>
  <si>
    <t>PASTICCERIA STELLA RAVENNA</t>
  </si>
  <si>
    <t>25000795898068</t>
  </si>
  <si>
    <t>22/01/2025</t>
  </si>
  <si>
    <t>24/01/2025</t>
  </si>
  <si>
    <t>SUPERMERCATO CONAD XX1 RUSSI</t>
  </si>
  <si>
    <t>25000792480733</t>
  </si>
  <si>
    <t>25000776886303</t>
  </si>
  <si>
    <t>C/C D152200534730</t>
  </si>
  <si>
    <t>Bollettini</t>
  </si>
  <si>
    <t>Imposta di bollo</t>
  </si>
  <si>
    <t>25000789355691</t>
  </si>
  <si>
    <t>NON SOLO PIXEL RUSSI</t>
  </si>
  <si>
    <t>25000783581966</t>
  </si>
  <si>
    <t>25000799891225</t>
  </si>
  <si>
    <t>25000782343985</t>
  </si>
  <si>
    <t>CANONE DEL CONTO</t>
  </si>
  <si>
    <t>Commissioni e interessi bancari</t>
  </si>
  <si>
    <t>Canone</t>
  </si>
  <si>
    <t>25000777906059</t>
  </si>
  <si>
    <t>SUPERMERCATO CONAD GAL RAVENNA</t>
  </si>
  <si>
    <t>25000780469912</t>
  </si>
  <si>
    <t>affitto Gennaio 2025 DA DELL'ORSO CARLA</t>
  </si>
  <si>
    <t>25000801631478</t>
  </si>
  <si>
    <t>25000797616246</t>
  </si>
  <si>
    <t>Escludi</t>
  </si>
  <si>
    <t>1259539499</t>
  </si>
  <si>
    <t>01/03/2025</t>
  </si>
  <si>
    <t>AMAZON +18882796620</t>
  </si>
  <si>
    <t>25000828720335</t>
  </si>
  <si>
    <t>28/02/2025</t>
  </si>
  <si>
    <t>25000828401358</t>
  </si>
  <si>
    <t>BANCO BPM S.P.A. PAGAMENTO FINANZIAMENTO 01099/05633174 BANCA 05034 C/O BPVN PER RATA SCADENTE IL 28/02/2025</t>
  </si>
  <si>
    <t>25000827523988</t>
  </si>
  <si>
    <t>27/02/2025</t>
  </si>
  <si>
    <t>25000826832988</t>
  </si>
  <si>
    <t>26/02/2025</t>
  </si>
  <si>
    <t>SOSTITUZIONE CINGHIA PASTORELLI CHIARA A OFFICINA NARDI DAMIANO E CASADIO MANUEL S N C</t>
  </si>
  <si>
    <t>25000828903291</t>
  </si>
  <si>
    <t>ASPITIMOLA IMOLA</t>
  </si>
  <si>
    <t>25000826971625</t>
  </si>
  <si>
    <t>24/02/2025</t>
  </si>
  <si>
    <t>25000824836267</t>
  </si>
  <si>
    <t>22/02/2025</t>
  </si>
  <si>
    <t>25000823876280</t>
  </si>
  <si>
    <t>21/02/2025</t>
  </si>
  <si>
    <t>FARMACIA DELLE ERBE RAVENNA</t>
  </si>
  <si>
    <t>25000823845540</t>
  </si>
  <si>
    <t>25000822060370</t>
  </si>
  <si>
    <t>20/02/2025</t>
  </si>
  <si>
    <t>PAGAMENTO FATTURA 106 DEL 18-02-2025 - INTERVENTO DI ASSISTENZA TECNICA A NR 5 CONDIZIONATORI, MANODOPERA E MATERIALE DI CONSUMO A AUTOMATIKA SOLUTIONS SRL</t>
  </si>
  <si>
    <t>Attività professionali</t>
  </si>
  <si>
    <t>25000823087508</t>
  </si>
  <si>
    <t>19/02/2025</t>
  </si>
  <si>
    <t>25000821987888</t>
  </si>
  <si>
    <t>18/02/2025</t>
  </si>
  <si>
    <t>25000819412603</t>
  </si>
  <si>
    <t>Engie Italia S.p.A. Bolletta n. MM.2025.426911.0</t>
  </si>
  <si>
    <t>25000821232498</t>
  </si>
  <si>
    <t>17/02/2025</t>
  </si>
  <si>
    <t>CAFFE MATTEI RAVENNA</t>
  </si>
  <si>
    <t>25000821229923</t>
  </si>
  <si>
    <t>15/02/2025</t>
  </si>
  <si>
    <t>EDO SUSHI RAVENNA</t>
  </si>
  <si>
    <t>25000818969264</t>
  </si>
  <si>
    <t>ASPITFAENZA FAENZA</t>
  </si>
  <si>
    <t>25000819074072</t>
  </si>
  <si>
    <t>14/02/2025</t>
  </si>
  <si>
    <t>ASPITBOLOGNA SAN LAZZA BOLOGNA SAN L</t>
  </si>
  <si>
    <t>25000819200229</t>
  </si>
  <si>
    <t>LIDL 357 RAVENNA</t>
  </si>
  <si>
    <t>25000817072562</t>
  </si>
  <si>
    <t>12/02/2025</t>
  </si>
  <si>
    <t>25000816036148</t>
  </si>
  <si>
    <t>11/02/2025</t>
  </si>
  <si>
    <t>13/02/2025</t>
  </si>
  <si>
    <t>SUSHI ONE RAVENNA</t>
  </si>
  <si>
    <t>25000817099899</t>
  </si>
  <si>
    <t>CINEMA CITY RAVENNA RAVENNA</t>
  </si>
  <si>
    <t>Tempo libero</t>
  </si>
  <si>
    <t>Cinema</t>
  </si>
  <si>
    <t>25000817103766</t>
  </si>
  <si>
    <t>25000816163949</t>
  </si>
  <si>
    <t>10/02/2025</t>
  </si>
  <si>
    <t>CASSA RISP DI RAVENNA SAN PANCRAZIO</t>
  </si>
  <si>
    <t>25000814696874</t>
  </si>
  <si>
    <t>25000814893397</t>
  </si>
  <si>
    <t>ARCAPLANET C.C. ESP V. RAVENNA</t>
  </si>
  <si>
    <t>25000814690216</t>
  </si>
  <si>
    <t>25000813930215</t>
  </si>
  <si>
    <t>09/02/2025</t>
  </si>
  <si>
    <t>NETFLIX.COM 18665797172</t>
  </si>
  <si>
    <t>25000811171500</t>
  </si>
  <si>
    <t>06/02/2025</t>
  </si>
  <si>
    <t>25000811812237</t>
  </si>
  <si>
    <t>05/02/2025</t>
  </si>
  <si>
    <t>25000808616702</t>
  </si>
  <si>
    <t>affitto Febbraio 2025 DA DELL'ORSO CARLA</t>
  </si>
  <si>
    <t>Bonifico istantaneo</t>
  </si>
  <si>
    <t>25000809697107</t>
  </si>
  <si>
    <t>04/02/2025</t>
  </si>
  <si>
    <t>25000804634623</t>
  </si>
  <si>
    <t>25000804354116</t>
  </si>
  <si>
    <t>RICARICA CARTA A BERTACCINI SIMONE</t>
  </si>
  <si>
    <t>25000811794449</t>
  </si>
  <si>
    <t>25000805509665</t>
  </si>
  <si>
    <t>01/02/2025</t>
  </si>
  <si>
    <t>EMOZIONI IN FIERA S.R. MASSA</t>
  </si>
  <si>
    <t>25000804092007</t>
  </si>
  <si>
    <t>ANGKOR SUPERSTORE SRL BRESCIA</t>
  </si>
  <si>
    <t>25000803983779</t>
  </si>
  <si>
    <t>IDEE IN FIERA S.R.L. ROMA</t>
  </si>
  <si>
    <t>Pagamento Carta</t>
  </si>
  <si>
    <t>EDEN VIAGGI ANTICIPO SHARM</t>
  </si>
  <si>
    <t>Vacanze</t>
  </si>
  <si>
    <t>(All)</t>
  </si>
  <si>
    <t>25000858885526</t>
  </si>
  <si>
    <t>31/03/2025</t>
  </si>
  <si>
    <t>25000858876852</t>
  </si>
  <si>
    <t>FT: 202550066832 202550622265C DA GESTORE DEI SERVIZI ENERGETICI - GS</t>
  </si>
  <si>
    <t>1277970432</t>
  </si>
  <si>
    <t>1277952741</t>
  </si>
  <si>
    <t>ATLANTIC RAVENNA RAVENNA</t>
  </si>
  <si>
    <t>1277832016</t>
  </si>
  <si>
    <t>EASYJET DNATA IN FLIGH MANCHESTER</t>
  </si>
  <si>
    <t>25000858255333</t>
  </si>
  <si>
    <t>BANCO BPM S.P.A. PAGAMENTO FINANZIAMENTO 01099/05633174 BANCA 05034 C/O BPVN PER RATA SCADENTE IL 31/03/2025</t>
  </si>
  <si>
    <t>1277439881</t>
  </si>
  <si>
    <t>30/03/2025</t>
  </si>
  <si>
    <t>1277424582</t>
  </si>
  <si>
    <t>ASPITMODENA SUD MODENA SUD</t>
  </si>
  <si>
    <t>1277396174</t>
  </si>
  <si>
    <t>MISERStazione di Terra</t>
  </si>
  <si>
    <t>25000855373461</t>
  </si>
  <si>
    <t>27/03/2025</t>
  </si>
  <si>
    <t>25000854525883</t>
  </si>
  <si>
    <t>24/03/2025</t>
  </si>
  <si>
    <t>26/03/2025</t>
  </si>
  <si>
    <t>Bar Transiti Imb Malpe FERNO</t>
  </si>
  <si>
    <t>25000854638028</t>
  </si>
  <si>
    <t>MXP T2 Hudson Partenze SOMMA LOMBARD</t>
  </si>
  <si>
    <t>25000853602913</t>
  </si>
  <si>
    <t>23/03/2025</t>
  </si>
  <si>
    <t>25/03/2025</t>
  </si>
  <si>
    <t>TRATTORIA DEL RISTORO OLEGGIO</t>
  </si>
  <si>
    <t>25000853769011</t>
  </si>
  <si>
    <t>GAVIO - SATAP A4 TORINO</t>
  </si>
  <si>
    <t>25000853630328</t>
  </si>
  <si>
    <t>ASPITMILANO SUD MILANO SUD</t>
  </si>
  <si>
    <t>25000853633978</t>
  </si>
  <si>
    <t>25000853637576</t>
  </si>
  <si>
    <t>22/03/2025</t>
  </si>
  <si>
    <t>25000854660687</t>
  </si>
  <si>
    <t>COMET RAVENNA</t>
  </si>
  <si>
    <t>Accessori</t>
  </si>
  <si>
    <t>25000851761683</t>
  </si>
  <si>
    <t>21/03/2025</t>
  </si>
  <si>
    <t>ROTTERDAM PUB RUSSI</t>
  </si>
  <si>
    <t>25000852831826</t>
  </si>
  <si>
    <t>MICROSOFT ROMA ROMA</t>
  </si>
  <si>
    <t xml:space="preserve">Elettronica </t>
  </si>
  <si>
    <t>25000850777932</t>
  </si>
  <si>
    <t>19/03/2025</t>
  </si>
  <si>
    <t>25000850588874</t>
  </si>
  <si>
    <t>25000850814805</t>
  </si>
  <si>
    <t>RISTORANTE PARMA SRL RAVENNA</t>
  </si>
  <si>
    <t>25000849845002</t>
  </si>
  <si>
    <t>18/03/2025</t>
  </si>
  <si>
    <t>20/03/2025</t>
  </si>
  <si>
    <t>25000848852983</t>
  </si>
  <si>
    <t>17/03/2025</t>
  </si>
  <si>
    <t>Z &amp; H STORE RAVENNA</t>
  </si>
  <si>
    <t>25000848745622</t>
  </si>
  <si>
    <t>25000848862144</t>
  </si>
  <si>
    <t>25000847985898</t>
  </si>
  <si>
    <t>15/03/2025</t>
  </si>
  <si>
    <t>TERRANOVA RAVENNA</t>
  </si>
  <si>
    <t>25000846657009</t>
  </si>
  <si>
    <t>25000845830104</t>
  </si>
  <si>
    <t>14/03/2025</t>
  </si>
  <si>
    <t>LIDL 1348 RAVENNA</t>
  </si>
  <si>
    <t>25000845712874</t>
  </si>
  <si>
    <t>048 OBI RAVENNA</t>
  </si>
  <si>
    <t>25000845463772</t>
  </si>
  <si>
    <t>13/03/2025</t>
  </si>
  <si>
    <t>Articoli sportivi</t>
  </si>
  <si>
    <t>25000844698189</t>
  </si>
  <si>
    <t>12/03/2025</t>
  </si>
  <si>
    <t>25000842649824</t>
  </si>
  <si>
    <t>11/03/2025</t>
  </si>
  <si>
    <t>TOKIO SRL POS 2 LUGO</t>
  </si>
  <si>
    <t>25000843412331</t>
  </si>
  <si>
    <t>25000843396287</t>
  </si>
  <si>
    <t>ESSO STAZ FUSSI SAN PANCRAZIO</t>
  </si>
  <si>
    <t>25000842546082</t>
  </si>
  <si>
    <t>10/03/2025</t>
  </si>
  <si>
    <t>25000841494843</t>
  </si>
  <si>
    <t>25000836380049</t>
  </si>
  <si>
    <t>05/03/2025</t>
  </si>
  <si>
    <t>affitto Marzo 2025 DA DELL'ORSO CARLA</t>
  </si>
  <si>
    <t>25000837929647</t>
  </si>
  <si>
    <t>07/03/2025</t>
  </si>
  <si>
    <t>25000836375341</t>
  </si>
  <si>
    <t>03/03/2025</t>
  </si>
  <si>
    <t>GLOBO RAVENNA RAVENNA</t>
  </si>
  <si>
    <t>Calzature</t>
  </si>
  <si>
    <t>25000836303557</t>
  </si>
  <si>
    <t>25000832525082</t>
  </si>
  <si>
    <t>04/03/2025</t>
  </si>
  <si>
    <t>25000832723028</t>
  </si>
  <si>
    <t>EDEN Viaggi Saldo Sharm</t>
  </si>
  <si>
    <t>25000888020303</t>
  </si>
  <si>
    <t>30/04/2025</t>
  </si>
  <si>
    <t>02/05/2025</t>
  </si>
  <si>
    <t>25000889104599</t>
  </si>
  <si>
    <t>25000887075894</t>
  </si>
  <si>
    <t>25000886937811</t>
  </si>
  <si>
    <t>BANCO BPM S.P.A. PAGAMENTO FINANZIAMENTO 01099/05633174 BANCA 05034 C/O BPVN PER RATA SCADENTE IL 30/04/2025</t>
  </si>
  <si>
    <t>25000888049272</t>
  </si>
  <si>
    <t>29/04/2025</t>
  </si>
  <si>
    <t>ZANNONI FERRAMENTA RUSSI</t>
  </si>
  <si>
    <t>25000887986134</t>
  </si>
  <si>
    <t>25000888105771</t>
  </si>
  <si>
    <t>RAVENNA TRENTATRE RAVENNA</t>
  </si>
  <si>
    <t>25000887436362</t>
  </si>
  <si>
    <t>28/04/2025</t>
  </si>
  <si>
    <t>25000887255172</t>
  </si>
  <si>
    <t>25000885825103</t>
  </si>
  <si>
    <t>27/04/2025</t>
  </si>
  <si>
    <t>25000885830025</t>
  </si>
  <si>
    <t>26/04/2025</t>
  </si>
  <si>
    <t>25000883956441</t>
  </si>
  <si>
    <t>25/04/2025</t>
  </si>
  <si>
    <t>ASPITFERRARA SUD FERRARA SUD</t>
  </si>
  <si>
    <t>25000884234263</t>
  </si>
  <si>
    <t>IGINI SUSHI SAN LAZZARO D</t>
  </si>
  <si>
    <t>25000884186938</t>
  </si>
  <si>
    <t>SPORT NATION BO SRL SAN LAZZARO D</t>
  </si>
  <si>
    <t>Sport e Hobbies</t>
  </si>
  <si>
    <t>25000883941230</t>
  </si>
  <si>
    <t>25000883744303</t>
  </si>
  <si>
    <t>24/04/2025</t>
  </si>
  <si>
    <t>25000883896803</t>
  </si>
  <si>
    <t>25000882601528</t>
  </si>
  <si>
    <t>DISINVESTIMENTO 25126BC8-253E-44DE-9D9C-0A5AF465912A DA MFM INVESTMENT ITALIAN BRANCH</t>
  </si>
  <si>
    <t>25000882209938</t>
  </si>
  <si>
    <t>25000883100329</t>
  </si>
  <si>
    <t>23/04/2025</t>
  </si>
  <si>
    <t>25000883199267</t>
  </si>
  <si>
    <t>AUSL ROMAGNA RA0112 RAVENNA</t>
  </si>
  <si>
    <t>25000882357072</t>
  </si>
  <si>
    <t>22/04/2025</t>
  </si>
  <si>
    <t>25000879204097</t>
  </si>
  <si>
    <t>18/04/2025</t>
  </si>
  <si>
    <t>25000879164267</t>
  </si>
  <si>
    <t>25000877938549</t>
  </si>
  <si>
    <t>16/04/2025</t>
  </si>
  <si>
    <t>25000874338079</t>
  </si>
  <si>
    <t>15/04/2025</t>
  </si>
  <si>
    <t>Engie Italia S.p.A. Bolletta n. MM.2025.1138965.0</t>
  </si>
  <si>
    <t>25000873532939</t>
  </si>
  <si>
    <t>14/04/2025</t>
  </si>
  <si>
    <t>ITALY DA CITIITMX URI 15002603001078 DA ITALY</t>
  </si>
  <si>
    <t>Rimborsi</t>
  </si>
  <si>
    <t>25000874972586</t>
  </si>
  <si>
    <t>12/04/2025</t>
  </si>
  <si>
    <t>25000875108150</t>
  </si>
  <si>
    <t>25000873801350</t>
  </si>
  <si>
    <t>11/04/2025</t>
  </si>
  <si>
    <t>ENRI'S DI MONTANARI EN RUSSI</t>
  </si>
  <si>
    <t>25000872561244</t>
  </si>
  <si>
    <t>25000872957066</t>
  </si>
  <si>
    <t>25000871668385</t>
  </si>
  <si>
    <t>Pagamento pagoPA effettuato con successo</t>
  </si>
  <si>
    <t>PagoPA</t>
  </si>
  <si>
    <t>25000870241869</t>
  </si>
  <si>
    <t>10/04/2025</t>
  </si>
  <si>
    <t>25000871838546</t>
  </si>
  <si>
    <t>25000871715980</t>
  </si>
  <si>
    <t>09/04/2025</t>
  </si>
  <si>
    <t>FARMACIA DELLE ERBE RAVENNA RA</t>
  </si>
  <si>
    <t>25000869400735</t>
  </si>
  <si>
    <t>25000870715802</t>
  </si>
  <si>
    <t>08/04/2025</t>
  </si>
  <si>
    <t>LORENZETTI FEDERICA RUSSI</t>
  </si>
  <si>
    <t>Benessere e Relax</t>
  </si>
  <si>
    <t>25000870695906</t>
  </si>
  <si>
    <t>25000868332420</t>
  </si>
  <si>
    <t>06/04/2025</t>
  </si>
  <si>
    <t>VEGA CARBURANTI S.P.A. LUGO</t>
  </si>
  <si>
    <t>25000866010690</t>
  </si>
  <si>
    <t>07/04/2025</t>
  </si>
  <si>
    <t>POS 0404 LA FLEK VALENCIA</t>
  </si>
  <si>
    <t>25000866317984</t>
  </si>
  <si>
    <t>04/04/2025</t>
  </si>
  <si>
    <t>25000864602499</t>
  </si>
  <si>
    <t>25000866098427</t>
  </si>
  <si>
    <t>VILLAGGIO NATURA S.R.L RUSSI RA</t>
  </si>
  <si>
    <t>25000865963050</t>
  </si>
  <si>
    <t>NORAFOODS 1 BARCELONA</t>
  </si>
  <si>
    <t>25000863518968</t>
  </si>
  <si>
    <t>25000863400115</t>
  </si>
  <si>
    <t>03/04/2025</t>
  </si>
  <si>
    <t>INVEST A SIMONE BERTACCINI</t>
  </si>
  <si>
    <t>25000865762906</t>
  </si>
  <si>
    <t>25000863343376</t>
  </si>
  <si>
    <t>affitto Aprile 2025 DA CARLA DELL'ORSO</t>
  </si>
  <si>
    <t>25000865602852</t>
  </si>
  <si>
    <t>25000865713705</t>
  </si>
  <si>
    <t>LA FLEK VALENCIA BARCELONA</t>
  </si>
  <si>
    <t>25000862174353</t>
  </si>
  <si>
    <t>02/04/2025</t>
  </si>
  <si>
    <t>25000864370756</t>
  </si>
  <si>
    <t>25000864171485</t>
  </si>
  <si>
    <t>365 BARCELONA</t>
  </si>
  <si>
    <t>25000862975098</t>
  </si>
  <si>
    <t>01/04/2025</t>
  </si>
  <si>
    <t>Wikimedia San Francisco</t>
  </si>
  <si>
    <t>25000863291842</t>
  </si>
  <si>
    <t>25000862987206</t>
  </si>
  <si>
    <t>25000863102586</t>
  </si>
  <si>
    <t>25000862972058</t>
  </si>
  <si>
    <t>BAR PASTICCERIA BABINI RUSSI</t>
  </si>
  <si>
    <t>Note</t>
  </si>
  <si>
    <t>25000919494483</t>
  </si>
  <si>
    <t>31/05/2025</t>
  </si>
  <si>
    <t>03/06/2025</t>
  </si>
  <si>
    <t>MCDONALD'S RAVENNA</t>
  </si>
  <si>
    <t/>
  </si>
  <si>
    <t>25000919628054</t>
  </si>
  <si>
    <t>25000919494481</t>
  </si>
  <si>
    <t>25000919436636</t>
  </si>
  <si>
    <t>INDEGNO LA CRESCENTINA 2 BOLOGNA</t>
  </si>
  <si>
    <t>25000919454406</t>
  </si>
  <si>
    <t>ASPITBOLOGNA FIERA BOLOGNA FIERA</t>
  </si>
  <si>
    <t>25000918948407</t>
  </si>
  <si>
    <t>30/05/2025</t>
  </si>
  <si>
    <t>25000917312034</t>
  </si>
  <si>
    <t>25000918110960</t>
  </si>
  <si>
    <t>29/05/2025</t>
  </si>
  <si>
    <t>25000918259894</t>
  </si>
  <si>
    <t>25000916360777</t>
  </si>
  <si>
    <t>27/05/2025</t>
  </si>
  <si>
    <t>LORETO GIANNI RAVENNA</t>
  </si>
  <si>
    <t>25000914105390</t>
  </si>
  <si>
    <t>25000913819228</t>
  </si>
  <si>
    <t>Satispay Europe S.A. Ricarica dell'app Satispay</t>
  </si>
  <si>
    <t>25000915363994</t>
  </si>
  <si>
    <t>26/05/2025</t>
  </si>
  <si>
    <t>28/05/2025</t>
  </si>
  <si>
    <t>25000914206040</t>
  </si>
  <si>
    <t>25/05/2025</t>
  </si>
  <si>
    <t>PIZZICHERIA PANE PALAZZUOLO SU</t>
  </si>
  <si>
    <t>25000914456248</t>
  </si>
  <si>
    <t>24/05/2025</t>
  </si>
  <si>
    <t>25000914493516</t>
  </si>
  <si>
    <t>23/05/2025</t>
  </si>
  <si>
    <t>PAYPAL *AGRIEUROSRL 3480160457</t>
  </si>
  <si>
    <t>25000911391968</t>
  </si>
  <si>
    <t>21/05/2025</t>
  </si>
  <si>
    <t>25000910081755</t>
  </si>
  <si>
    <t>20/05/2025</t>
  </si>
  <si>
    <t>22/05/2025</t>
  </si>
  <si>
    <t>ARTEDILE SRLS COLONNIN RUSSI</t>
  </si>
  <si>
    <t>25000910343259</t>
  </si>
  <si>
    <t>25000905951486</t>
  </si>
  <si>
    <t>16/05/2025</t>
  </si>
  <si>
    <t>19/05/2025</t>
  </si>
  <si>
    <t>F.R.E.S. SRL CASTEL BOLOGN</t>
  </si>
  <si>
    <t>Associazioni e Club</t>
  </si>
  <si>
    <t xml:space="preserve">Cupole </t>
  </si>
  <si>
    <t>25000906275474</t>
  </si>
  <si>
    <t>BARAVELLI LORETTA RIST COTIGNOLA</t>
  </si>
  <si>
    <t>25000906299044</t>
  </si>
  <si>
    <t>25000906390438</t>
  </si>
  <si>
    <t>25000906377904</t>
  </si>
  <si>
    <t>14/05/2025</t>
  </si>
  <si>
    <t>25000905057430</t>
  </si>
  <si>
    <t>25000904998541</t>
  </si>
  <si>
    <t>25000903082901</t>
  </si>
  <si>
    <t>Investimenti</t>
  </si>
  <si>
    <t>25000902592239</t>
  </si>
  <si>
    <t>Codice C U P E49I23000240001 BANDO PER INCENTIVI ACQUISTO DI BICICLETTE A PEDALATA ASSISTITA DGR 2008 2023 PRIMO PROVVEDIMENTO DI LIQUIDAZIO DA REGIONE EMILIA-ROMAGNA</t>
  </si>
  <si>
    <t>25000903829986</t>
  </si>
  <si>
    <t>13/05/2025</t>
  </si>
  <si>
    <t>15/05/2025</t>
  </si>
  <si>
    <t>25000902719031</t>
  </si>
  <si>
    <t>12/05/2025</t>
  </si>
  <si>
    <t>CASSA AUTOMATICA SPIK RAVENNA</t>
  </si>
  <si>
    <t>25000901859707</t>
  </si>
  <si>
    <t>11/05/2025</t>
  </si>
  <si>
    <t>IL BRIGANTINO RAVENNA</t>
  </si>
  <si>
    <t>25000901431303</t>
  </si>
  <si>
    <t>25000899606213</t>
  </si>
  <si>
    <t>09/05/2025</t>
  </si>
  <si>
    <t>25000899266847</t>
  </si>
  <si>
    <t>25000899594180</t>
  </si>
  <si>
    <t>AUSL ROMAGNA-RA0109 RUSSI</t>
  </si>
  <si>
    <t>25000899577475</t>
  </si>
  <si>
    <t>25000899600644</t>
  </si>
  <si>
    <t>25000898857008</t>
  </si>
  <si>
    <t>08/05/2025</t>
  </si>
  <si>
    <t>LA MUCCA VIOLA RUSSI</t>
  </si>
  <si>
    <t>25000898941419</t>
  </si>
  <si>
    <t>25000896069697</t>
  </si>
  <si>
    <t>07/05/2025</t>
  </si>
  <si>
    <t>affitto maggio 2025 DA DELL'ORSO CARLA</t>
  </si>
  <si>
    <t>25000896823365</t>
  </si>
  <si>
    <t>06/05/2025</t>
  </si>
  <si>
    <t>25000894146524</t>
  </si>
  <si>
    <t>25000895911848</t>
  </si>
  <si>
    <t>05/05/2025</t>
  </si>
  <si>
    <t>D224 Ravenna Ravenna</t>
  </si>
  <si>
    <t>25000895940969</t>
  </si>
  <si>
    <t>25000895619212</t>
  </si>
  <si>
    <t>25000895721784</t>
  </si>
  <si>
    <t>25000892983356</t>
  </si>
  <si>
    <t>25000889340741</t>
  </si>
  <si>
    <t>Bollettino pagato con successo</t>
  </si>
  <si>
    <t>null</t>
  </si>
  <si>
    <t>25000948698988</t>
  </si>
  <si>
    <t>30/06/2025</t>
  </si>
  <si>
    <t>FT: 202551193269 DA GESTORE DEI SERVIZI ENERGETICI - GS</t>
  </si>
  <si>
    <t>25000948639466</t>
  </si>
  <si>
    <t>25000948375493</t>
  </si>
  <si>
    <t>BANCO BPM S.P.A. PAGAMENTO FINANZIAMENTO 01099/05633174 BANCA 05034 C/O BPVN PER RATA SCADENTE IL 30/06/2025</t>
  </si>
  <si>
    <t>25000948868612</t>
  </si>
  <si>
    <t>28/06/2025</t>
  </si>
  <si>
    <t>25000947655063</t>
  </si>
  <si>
    <t>27/06/2025</t>
  </si>
  <si>
    <t>ASPITRoma Nord Roma</t>
  </si>
  <si>
    <t>25000946196728</t>
  </si>
  <si>
    <t>25000945621616</t>
  </si>
  <si>
    <t>26/06/2025</t>
  </si>
  <si>
    <t>25000947250120</t>
  </si>
  <si>
    <t>25000945097713</t>
  </si>
  <si>
    <t>POS 2406 AMZN Mktp IT</t>
  </si>
  <si>
    <t>Storno</t>
  </si>
  <si>
    <t>25000944598430</t>
  </si>
  <si>
    <t>25/06/2025</t>
  </si>
  <si>
    <t>POS 1106 ARCAPLANET</t>
  </si>
  <si>
    <t>25000943537122</t>
  </si>
  <si>
    <t>24/06/2025</t>
  </si>
  <si>
    <t>INVESTIMENTO PRIVATE MARKET A SIMONE BERTACCINI</t>
  </si>
  <si>
    <t>25000945366046</t>
  </si>
  <si>
    <t>25000944455038</t>
  </si>
  <si>
    <t>23/06/2025</t>
  </si>
  <si>
    <t>25000942245067</t>
  </si>
  <si>
    <t>FT: 202522848394S 202523829636S 202523829635S DA GESTORE DEI SERVIZI ENERGETICI - GS</t>
  </si>
  <si>
    <t>25000942074525</t>
  </si>
  <si>
    <t>FT: 202523632625S 202524819546S DA GESTORE DEI SERVIZI ENERGETICI - GS</t>
  </si>
  <si>
    <t>25000941276569</t>
  </si>
  <si>
    <t>20/06/2025</t>
  </si>
  <si>
    <t>IL GELATO RAVENNA</t>
  </si>
  <si>
    <t>25000941149663</t>
  </si>
  <si>
    <t>25000941253057</t>
  </si>
  <si>
    <t>25000940764070</t>
  </si>
  <si>
    <t>19/06/2025</t>
  </si>
  <si>
    <t>25000939974859</t>
  </si>
  <si>
    <t>18/06/2025</t>
  </si>
  <si>
    <t>ALDI S.R.L. RAVENNA RA</t>
  </si>
  <si>
    <t>25000940800523</t>
  </si>
  <si>
    <t>17/06/2025</t>
  </si>
  <si>
    <t>25000936348186</t>
  </si>
  <si>
    <t>Engie Italia S.p.A. Bolletta n. MM.2025.1922962.0</t>
  </si>
  <si>
    <t>25000936267578</t>
  </si>
  <si>
    <t>25000937968464</t>
  </si>
  <si>
    <t>16/06/2025</t>
  </si>
  <si>
    <t>25000935583555</t>
  </si>
  <si>
    <t>TC 1000742075 TL 250247535 DdR DW29-25-1173048 20250531 DA INTESA SANPAOLO PROTEZIONE S P A</t>
  </si>
  <si>
    <t>25000934971300</t>
  </si>
  <si>
    <t>13/06/2025</t>
  </si>
  <si>
    <t>KIABI RAVENNA</t>
  </si>
  <si>
    <t>25000934582511</t>
  </si>
  <si>
    <t>DISPENSA EMILIA-VAIMO. RAVENNA</t>
  </si>
  <si>
    <t>25000934932437</t>
  </si>
  <si>
    <t>25000934929833</t>
  </si>
  <si>
    <t>25000934956651</t>
  </si>
  <si>
    <t>25000933525475</t>
  </si>
  <si>
    <t>ACCONTO 14MA DA Esselunga S.p.A.</t>
  </si>
  <si>
    <t>25000933311427</t>
  </si>
  <si>
    <t>25000934389649</t>
  </si>
  <si>
    <t>11/06/2025</t>
  </si>
  <si>
    <t>25000932086346</t>
  </si>
  <si>
    <t>10/06/2025</t>
  </si>
  <si>
    <t>12/06/2025</t>
  </si>
  <si>
    <t>25000929183440</t>
  </si>
  <si>
    <t>25000931101368</t>
  </si>
  <si>
    <t>09/06/2025</t>
  </si>
  <si>
    <t>25000929430438</t>
  </si>
  <si>
    <t>08/06/2025</t>
  </si>
  <si>
    <t>25000929744043</t>
  </si>
  <si>
    <t>25000929589920</t>
  </si>
  <si>
    <t>GRADARA INNOVA GRADARA</t>
  </si>
  <si>
    <t>25000929719716</t>
  </si>
  <si>
    <t>ASPITPESARO URBINO PESARO URBINO</t>
  </si>
  <si>
    <t>25000929570861</t>
  </si>
  <si>
    <t>CASA LEOPARDI SRL RECANATI</t>
  </si>
  <si>
    <t>25000928497280</t>
  </si>
  <si>
    <t>07/06/2025</t>
  </si>
  <si>
    <t>LUCY NUMANA</t>
  </si>
  <si>
    <t>25000928617278</t>
  </si>
  <si>
    <t>NUMANA-FIOR DI GRANO NUMANA</t>
  </si>
  <si>
    <t>25000928606760</t>
  </si>
  <si>
    <t>FARMASALUTE SRLS NUMANA</t>
  </si>
  <si>
    <t>25000928571058</t>
  </si>
  <si>
    <t>GELATERIA DEL CONERO SIROLO</t>
  </si>
  <si>
    <t>25000927852602</t>
  </si>
  <si>
    <t>06/06/2025</t>
  </si>
  <si>
    <t>RICCI FERNANDO NUMANA</t>
  </si>
  <si>
    <t>25000927572064</t>
  </si>
  <si>
    <t>CONERO AZZURRO NUMANA</t>
  </si>
  <si>
    <t>Hotel</t>
  </si>
  <si>
    <t>25000927550051</t>
  </si>
  <si>
    <t>ASPITLORETO LORETO</t>
  </si>
  <si>
    <t>25000927036841</t>
  </si>
  <si>
    <t>05/06/2025</t>
  </si>
  <si>
    <t>25000924531889</t>
  </si>
  <si>
    <t>SPESE CONDOMINIALI - SALDO ESERC 2024 QUOTA DI COMPETENZA PASTORELLI CHIARA A CONDOMINIO MOZART 11 13 A</t>
  </si>
  <si>
    <t>25000926535317</t>
  </si>
  <si>
    <t>04/06/2025</t>
  </si>
  <si>
    <t>SPESA INTELLIGENTE SPA RAVENNA</t>
  </si>
  <si>
    <t>25000922918708</t>
  </si>
  <si>
    <t>affitto Giugno 2025 DA DELL'ORSO CARLA</t>
  </si>
  <si>
    <t>25000921126704</t>
  </si>
  <si>
    <t>25000920443002</t>
  </si>
  <si>
    <t>25000920561066</t>
  </si>
  <si>
    <t>01/06/2025</t>
  </si>
  <si>
    <t>SPIAGGIA SAN FRANCISCO RAVENNA</t>
  </si>
  <si>
    <t>25000922917455</t>
  </si>
  <si>
    <t>1359253944</t>
  </si>
  <si>
    <t>31/07/2025</t>
  </si>
  <si>
    <t>KIMA SRL CONSELICE</t>
  </si>
  <si>
    <t>25000981799290</t>
  </si>
  <si>
    <t>RICARICA VODAFONE 301</t>
  </si>
  <si>
    <t>Internet</t>
  </si>
  <si>
    <t>Ricarica telefonica</t>
  </si>
  <si>
    <t>25000981095692</t>
  </si>
  <si>
    <t>BANCO BPM S.P.A. PAGAMENTO FINANZIAMENTO 01099/05633174 BANCA 05034 C/O BPVN PER RATA SCADENTE IL 31/07/2025</t>
  </si>
  <si>
    <t>25000982850065</t>
  </si>
  <si>
    <t>30/07/2025</t>
  </si>
  <si>
    <t>01/08/2025</t>
  </si>
  <si>
    <t>BAR GELATERIA GLORIA RAVENNA</t>
  </si>
  <si>
    <t>25000982756974</t>
  </si>
  <si>
    <t>SumUp *L a Piada Ravenna</t>
  </si>
  <si>
    <t>25000981663029</t>
  </si>
  <si>
    <t>29/07/2025</t>
  </si>
  <si>
    <t>25000980306393</t>
  </si>
  <si>
    <t>25000978409058</t>
  </si>
  <si>
    <t>28/07/2025</t>
  </si>
  <si>
    <t>25000980233246</t>
  </si>
  <si>
    <t>25000979103157</t>
  </si>
  <si>
    <t>27/07/2025</t>
  </si>
  <si>
    <t>RISTORANTE CORTE DEGLI COTIGNOLA</t>
  </si>
  <si>
    <t>25000979284669</t>
  </si>
  <si>
    <t>26/07/2025</t>
  </si>
  <si>
    <t>25000978151208</t>
  </si>
  <si>
    <t>25000977055737</t>
  </si>
  <si>
    <t>25/07/2025</t>
  </si>
  <si>
    <t>PIAZZA ITALIA RAVENNA</t>
  </si>
  <si>
    <t>25000977173118</t>
  </si>
  <si>
    <t>OVS 51280 RAVENNA RAVENNA</t>
  </si>
  <si>
    <t>25000977059243</t>
  </si>
  <si>
    <t>25000977250019</t>
  </si>
  <si>
    <t>TEZENIS ELEUTHERIA RAVENNA</t>
  </si>
  <si>
    <t>25000977250014</t>
  </si>
  <si>
    <t>25000977040342</t>
  </si>
  <si>
    <t>25000980353376</t>
  </si>
  <si>
    <t>25000975731033</t>
  </si>
  <si>
    <t>25000976723647</t>
  </si>
  <si>
    <t>24/07/2025</t>
  </si>
  <si>
    <t>0382 IPMK FAENZA FAENZA</t>
  </si>
  <si>
    <t>25000976736758</t>
  </si>
  <si>
    <t>C &amp; A Moda 808 FAENZA</t>
  </si>
  <si>
    <t>25000976108417</t>
  </si>
  <si>
    <t>23/07/2025</t>
  </si>
  <si>
    <t>SMOLL ITALIA S.R.L. RUSSI</t>
  </si>
  <si>
    <t>25000973749161</t>
  </si>
  <si>
    <t>21/07/2025</t>
  </si>
  <si>
    <t>DALLA FEDE PIADINERIA RAVENNA</t>
  </si>
  <si>
    <t>25000970626074</t>
  </si>
  <si>
    <t>18/07/2025</t>
  </si>
  <si>
    <t>25000970626070</t>
  </si>
  <si>
    <t>25000970565279</t>
  </si>
  <si>
    <t>25000970392304</t>
  </si>
  <si>
    <t>25000970414812</t>
  </si>
  <si>
    <t>25000969187041</t>
  </si>
  <si>
    <t>16/07/2025</t>
  </si>
  <si>
    <t>DISTRIBUTORE GEO - GAS RAVENNA</t>
  </si>
  <si>
    <t>25000967102993</t>
  </si>
  <si>
    <t>ITALY DA CITIITMX URI 15002627551078 DA ITALY</t>
  </si>
  <si>
    <t>25000967321983</t>
  </si>
  <si>
    <t>14/07/2025</t>
  </si>
  <si>
    <t>SUSHI WU DI LIU RUSSI</t>
  </si>
  <si>
    <t>25000967023661</t>
  </si>
  <si>
    <t>25000967110244</t>
  </si>
  <si>
    <t>25000966292905</t>
  </si>
  <si>
    <t>13/07/2025</t>
  </si>
  <si>
    <t>15/07/2025</t>
  </si>
  <si>
    <t>STREET KITCHEN CASALECCHIO D</t>
  </si>
  <si>
    <t>25000965881524</t>
  </si>
  <si>
    <t>CAVAIONI PARK BOLOGNA</t>
  </si>
  <si>
    <t>25000963815694</t>
  </si>
  <si>
    <t>11/07/2025</t>
  </si>
  <si>
    <t>25000962660646</t>
  </si>
  <si>
    <t>10/07/2025</t>
  </si>
  <si>
    <t>25000962552853</t>
  </si>
  <si>
    <t>09/07/2025</t>
  </si>
  <si>
    <t>PRO LOCO SAVIO CERVIA</t>
  </si>
  <si>
    <t>25000959556923</t>
  </si>
  <si>
    <t>Codice C U P E47F23000090001 DGR 2204 2023 SECONDO BANDO PER LA SOSTITUZIONE DI IMPIANTI INQUINANTI PER RISCALDAMENTO CIVILE A BIOMASSA DEST DA REGIONE EMILIA-ROMAGNA</t>
  </si>
  <si>
    <t>25000958474424</t>
  </si>
  <si>
    <t>08/07/2025</t>
  </si>
  <si>
    <t>affitto Luglio 2025 DA DELL'ORSO CARLA</t>
  </si>
  <si>
    <t>25000957935977</t>
  </si>
  <si>
    <t>25000958612896</t>
  </si>
  <si>
    <t>06/07/2025</t>
  </si>
  <si>
    <t>25000958621887</t>
  </si>
  <si>
    <t>25000958665558</t>
  </si>
  <si>
    <t>05/07/2025</t>
  </si>
  <si>
    <t>25000956347555</t>
  </si>
  <si>
    <t>04/07/2025</t>
  </si>
  <si>
    <t>07/07/2025</t>
  </si>
  <si>
    <t>BRECCIA'S ON THE ROAD VERGHERETO</t>
  </si>
  <si>
    <t>25000955033102</t>
  </si>
  <si>
    <t>25000956035219</t>
  </si>
  <si>
    <t>25000956529289</t>
  </si>
  <si>
    <t>25000952775616</t>
  </si>
  <si>
    <t>03/07/2025</t>
  </si>
  <si>
    <t>25000952189338</t>
  </si>
  <si>
    <t>02/07/2025</t>
  </si>
  <si>
    <t>25000953425751</t>
  </si>
  <si>
    <t>01/07/2025</t>
  </si>
  <si>
    <t>MAGIC GROUP SRL IMOLA</t>
  </si>
  <si>
    <t>25000949851329</t>
  </si>
  <si>
    <t>Ferie</t>
  </si>
  <si>
    <t>25001012914987</t>
  </si>
  <si>
    <t>31/08/2025</t>
  </si>
  <si>
    <t>02/09/2025</t>
  </si>
  <si>
    <t>Selasetur Islands ehf Hvammstangi</t>
  </si>
  <si>
    <t>Musei e Parchi</t>
  </si>
  <si>
    <t>25001012865886</t>
  </si>
  <si>
    <t>Axelsbakari Akureyri</t>
  </si>
  <si>
    <t>Colazione</t>
  </si>
  <si>
    <t>25001011375369</t>
  </si>
  <si>
    <t>30/08/2025</t>
  </si>
  <si>
    <t>01/09/2025</t>
  </si>
  <si>
    <t>Kronan Akureyri Akureyri</t>
  </si>
  <si>
    <t>25001011413282</t>
  </si>
  <si>
    <t>Gamli baerinn Laufasi Akureyri</t>
  </si>
  <si>
    <t>25001011358082</t>
  </si>
  <si>
    <t>Icewear - Nayax Gardabaer</t>
  </si>
  <si>
    <t>Bagno</t>
  </si>
  <si>
    <t>25001011316970</t>
  </si>
  <si>
    <t>IceWear Godafoss Husavik</t>
  </si>
  <si>
    <t>Souvenir</t>
  </si>
  <si>
    <t>25001011348351</t>
  </si>
  <si>
    <t>Sannir Reykjahlid ehf Reykjavik</t>
  </si>
  <si>
    <t>25001010260931</t>
  </si>
  <si>
    <t>29/08/2025</t>
  </si>
  <si>
    <t>Bonus Egilsstadir Egilsstadir</t>
  </si>
  <si>
    <t>25001010092285</t>
  </si>
  <si>
    <t>Bilastaedi Jokulsarlon Hofn</t>
  </si>
  <si>
    <t>25001008969150</t>
  </si>
  <si>
    <t>25001009842444</t>
  </si>
  <si>
    <t>28/08/2025</t>
  </si>
  <si>
    <t>Adventure Hotels Reykjavik</t>
  </si>
  <si>
    <t>Cena</t>
  </si>
  <si>
    <t>25001009906997</t>
  </si>
  <si>
    <t>Bilastaedi Skaftafelli HOFN</t>
  </si>
  <si>
    <t>25001009816983</t>
  </si>
  <si>
    <t>Parka Reykjavik</t>
  </si>
  <si>
    <t>25001009811538</t>
  </si>
  <si>
    <t>25001008950561</t>
  </si>
  <si>
    <t>27/08/2025</t>
  </si>
  <si>
    <t>Byggdasafnid Skogum Hvolsvollur</t>
  </si>
  <si>
    <t>25001008946987</t>
  </si>
  <si>
    <t>25001009183167</t>
  </si>
  <si>
    <t>Seljalandsfoss ehf. Hvolsvollur</t>
  </si>
  <si>
    <t>25001009182216</t>
  </si>
  <si>
    <t>Bonus Selfoss Selfoss</t>
  </si>
  <si>
    <t>25001008941308</t>
  </si>
  <si>
    <t>Almar Bakari Hveragerdi</t>
  </si>
  <si>
    <t>25001008941296</t>
  </si>
  <si>
    <t>Kerfelagid ehf. Reykjavik</t>
  </si>
  <si>
    <t>25001006998774</t>
  </si>
  <si>
    <t>25001008129736</t>
  </si>
  <si>
    <t>26/08/2025</t>
  </si>
  <si>
    <t>Geysir verslun Blaskogabyggd</t>
  </si>
  <si>
    <t>25001008129756</t>
  </si>
  <si>
    <t>25001008129744</t>
  </si>
  <si>
    <t>25001008169154</t>
  </si>
  <si>
    <t>THjodg.THingvollum SELFOSS</t>
  </si>
  <si>
    <t>25001008242345</t>
  </si>
  <si>
    <t>Bonus Smaratorgi Kopavogur</t>
  </si>
  <si>
    <t>25001008169149</t>
  </si>
  <si>
    <t>Kokulist ehf Hafnarfjordur</t>
  </si>
  <si>
    <t>25001005676471</t>
  </si>
  <si>
    <t>25001005643740</t>
  </si>
  <si>
    <t>Engie Italia S.p.A. Bolletta n. MM/2025/2717167/0</t>
  </si>
  <si>
    <t>25001008108301</t>
  </si>
  <si>
    <t>25/08/2025</t>
  </si>
  <si>
    <t>Heberer FFM Flgh Schen Frankfurt am</t>
  </si>
  <si>
    <t>25001007295456</t>
  </si>
  <si>
    <t>25001007253579</t>
  </si>
  <si>
    <t>25001006261622</t>
  </si>
  <si>
    <t>23/08/2025</t>
  </si>
  <si>
    <t>25001002817459</t>
  </si>
  <si>
    <t>21/08/2025</t>
  </si>
  <si>
    <t>ASSICURAZIONE IBIZA A BERTACCINI PIERPAOLO</t>
  </si>
  <si>
    <t>Assicurazioni</t>
  </si>
  <si>
    <t>25001004145392</t>
  </si>
  <si>
    <t>BIZANTINA S.R.L. RAVENNA</t>
  </si>
  <si>
    <t>25001002499422</t>
  </si>
  <si>
    <t>19/08/2025</t>
  </si>
  <si>
    <t>25001002482718</t>
  </si>
  <si>
    <t>25001000108287</t>
  </si>
  <si>
    <t>25001000635769</t>
  </si>
  <si>
    <t>17/08/2025</t>
  </si>
  <si>
    <t>25000998692549</t>
  </si>
  <si>
    <t>14/08/2025</t>
  </si>
  <si>
    <t>18/08/2025</t>
  </si>
  <si>
    <t>MD SPA RAVENNA</t>
  </si>
  <si>
    <t>25000998549684</t>
  </si>
  <si>
    <t>LA SAPONERIA RAVENNA</t>
  </si>
  <si>
    <t>25000998750863</t>
  </si>
  <si>
    <t>25000996460841</t>
  </si>
  <si>
    <t>13/08/2025</t>
  </si>
  <si>
    <t>25000997389714</t>
  </si>
  <si>
    <t>12/08/2025</t>
  </si>
  <si>
    <t>25000997284263</t>
  </si>
  <si>
    <t>FRATELLI TERBINTI RUSSI</t>
  </si>
  <si>
    <t>25000994760799</t>
  </si>
  <si>
    <t>25000996092143</t>
  </si>
  <si>
    <t>11/08/2025</t>
  </si>
  <si>
    <t>25000996242472</t>
  </si>
  <si>
    <t>25000994183305</t>
  </si>
  <si>
    <t>10/08/2025</t>
  </si>
  <si>
    <t>25000994382264</t>
  </si>
  <si>
    <t>09/08/2025</t>
  </si>
  <si>
    <t>CINEMA CITY RAVENNA</t>
  </si>
  <si>
    <t>25000995131349</t>
  </si>
  <si>
    <t>ARCAPLANET FAENZA</t>
  </si>
  <si>
    <t>25000997445059</t>
  </si>
  <si>
    <t>25000995389793</t>
  </si>
  <si>
    <t>CONBIPEL FAENZA RA</t>
  </si>
  <si>
    <t>25000993126349</t>
  </si>
  <si>
    <t>PAG. DELEGA F24 DEL 090825</t>
  </si>
  <si>
    <t>25000993379145</t>
  </si>
  <si>
    <t>08/08/2025</t>
  </si>
  <si>
    <t>25000993374991</t>
  </si>
  <si>
    <t>25000992843198</t>
  </si>
  <si>
    <t>07/08/2025</t>
  </si>
  <si>
    <t>25000991188918</t>
  </si>
  <si>
    <t>25000990710803</t>
  </si>
  <si>
    <t>ITALY DA CITIITMX URI 15002632731078 DA ITALY</t>
  </si>
  <si>
    <t>25000990782622</t>
  </si>
  <si>
    <t>05/08/2025</t>
  </si>
  <si>
    <t>25000990963123</t>
  </si>
  <si>
    <t>25000988616243</t>
  </si>
  <si>
    <t>affitto Agosto 2025 DA DELL'ORSO CARLA</t>
  </si>
  <si>
    <t>25000988261169</t>
  </si>
  <si>
    <t>25000989759837</t>
  </si>
  <si>
    <t>04/08/2025</t>
  </si>
  <si>
    <t>06/08/2025</t>
  </si>
  <si>
    <t>25000987486031</t>
  </si>
  <si>
    <t>02/08/2025</t>
  </si>
  <si>
    <t>NEWYORKER Faenza</t>
  </si>
  <si>
    <t>25000988515186</t>
  </si>
  <si>
    <t>25000986280915</t>
  </si>
  <si>
    <t>Penninn - Leifsstod Reykjanesbaer</t>
  </si>
  <si>
    <t>Harpa tonlistar og rad Reykjavik</t>
  </si>
  <si>
    <t>Lukkutangi ehf. Reykjavik</t>
  </si>
  <si>
    <t>Hotel Arnarstapi Borgarnes</t>
  </si>
  <si>
    <t>Pranzo</t>
  </si>
  <si>
    <t>Grundarfjardarbaer WC GRUNDARFJORDU</t>
  </si>
  <si>
    <t>OB Kirkjubaejarklaustr KIRKJUBAEJARK</t>
  </si>
  <si>
    <t>ISK</t>
  </si>
  <si>
    <t>Benzina</t>
  </si>
  <si>
    <t>Olis Selfoss SELFOSS</t>
  </si>
  <si>
    <t>Ramen CPH Airport Kastrup</t>
  </si>
  <si>
    <t>DKK</t>
  </si>
  <si>
    <t>OLIOLI - CPH AI KASTRUP</t>
  </si>
  <si>
    <t>Bonus Njardvik Reykjanesbaer</t>
  </si>
  <si>
    <t>N1 Vallarheidi Sjalfsali Reykjanesbaer</t>
  </si>
  <si>
    <t>KEF Restaurant Reykjanesbaer</t>
  </si>
  <si>
    <t>Bonus Skipholti Reykjavik</t>
  </si>
  <si>
    <t>Icewear Laugavegi 1 Reykjavik</t>
  </si>
  <si>
    <t>Harpa tonlistar og radste Reykjavik</t>
  </si>
  <si>
    <t>N1 Grundarfirdi sjalfsali Grundarfirdi</t>
  </si>
  <si>
    <t>OLIS AKUREYRI AKUREYRI</t>
  </si>
  <si>
    <t>Orkan   Egilsst. Midvangi Egilsstadir</t>
  </si>
  <si>
    <t>25001011194110</t>
  </si>
  <si>
    <t>BANCO BPM S.P.A. PAGAMENTO FINANZIAMENTO 01099/05633174 BANCA 05034 C/O BPVN PER RATA SCADENTE IL 31/08/2025</t>
  </si>
  <si>
    <t>f</t>
  </si>
  <si>
    <t>Voli LH</t>
  </si>
  <si>
    <t>Viking</t>
  </si>
  <si>
    <t>Voli SAS</t>
  </si>
  <si>
    <t>Hestakráin Guesthouse</t>
  </si>
  <si>
    <t>Assicurazione Macchina</t>
  </si>
  <si>
    <t>Skogar</t>
  </si>
  <si>
    <t>Noleggio Auto</t>
  </si>
  <si>
    <t>Adventure</t>
  </si>
  <si>
    <t>Lyngas</t>
  </si>
  <si>
    <t>BG4</t>
  </si>
  <si>
    <t>TOT</t>
  </si>
  <si>
    <t>Frost</t>
  </si>
  <si>
    <t>Bifrost</t>
  </si>
  <si>
    <t>Apartment Boholt</t>
  </si>
  <si>
    <t>ABC</t>
  </si>
  <si>
    <t>25001044615565</t>
  </si>
  <si>
    <t>30/09/2025</t>
  </si>
  <si>
    <t>02/10/2025</t>
  </si>
  <si>
    <t>25001044169324</t>
  </si>
  <si>
    <t>25001041337308</t>
  </si>
  <si>
    <t>GSE CONV. E07E20122307 DI PASTORELLI CHIARA DOCUMENTI 202552074686 DA GESTORE DEI SERVIZI ENERGETICI - GS</t>
  </si>
  <si>
    <t>25001041331724</t>
  </si>
  <si>
    <t>25001040800923</t>
  </si>
  <si>
    <t>BANCO BPM S.P.A. PAGAMENTO FINANZIAMENTO 01099/05633174 BANCA 05034 C/O BPVN PER RATA SCADENTE IL 30/09/2025</t>
  </si>
  <si>
    <t>25001044452841</t>
  </si>
  <si>
    <t>29/09/2025</t>
  </si>
  <si>
    <t>PAYPAL *fabiomoroni199 35314369001</t>
  </si>
  <si>
    <t>25001042708307</t>
  </si>
  <si>
    <t>01/10/2025</t>
  </si>
  <si>
    <t>25001040132550</t>
  </si>
  <si>
    <t>27/09/2025</t>
  </si>
  <si>
    <t>CONAD SUPERSTORE GALIL RAVENNA</t>
  </si>
  <si>
    <t>25001038368816</t>
  </si>
  <si>
    <t>26/09/2025</t>
  </si>
  <si>
    <t>25001039304575</t>
  </si>
  <si>
    <t>25001039225475</t>
  </si>
  <si>
    <t>25001038101542</t>
  </si>
  <si>
    <t>25001038835934</t>
  </si>
  <si>
    <t>25/09/2025</t>
  </si>
  <si>
    <t>ASPITRAVENNA RAVENNA</t>
  </si>
  <si>
    <t>25001038919707</t>
  </si>
  <si>
    <t>ASPITBOLOGNA ARCOVEGGI BOLOGNA ARCOV</t>
  </si>
  <si>
    <t>25001038161210</t>
  </si>
  <si>
    <t>24/09/2025</t>
  </si>
  <si>
    <t>25001036998089</t>
  </si>
  <si>
    <t>23/09/2025</t>
  </si>
  <si>
    <t>25001038859480</t>
  </si>
  <si>
    <t>25001034413077</t>
  </si>
  <si>
    <t>25001035977727</t>
  </si>
  <si>
    <t>22/09/2025</t>
  </si>
  <si>
    <t>AMY SUSHI SRL ROMA</t>
  </si>
  <si>
    <t>25001036194150</t>
  </si>
  <si>
    <t>25001034199455</t>
  </si>
  <si>
    <t>25001035070857</t>
  </si>
  <si>
    <t>21/09/2025</t>
  </si>
  <si>
    <t>25001035073322</t>
  </si>
  <si>
    <t>20/09/2025</t>
  </si>
  <si>
    <t>25001032957123</t>
  </si>
  <si>
    <t>19/09/2025</t>
  </si>
  <si>
    <t>MIC RAMEN FORLI' FORLI'</t>
  </si>
  <si>
    <t>25001032678638</t>
  </si>
  <si>
    <t>18/09/2025</t>
  </si>
  <si>
    <t>LA PIADINA DI MIRCA RAVENNA</t>
  </si>
  <si>
    <t>25001032651231</t>
  </si>
  <si>
    <t>25001031575657</t>
  </si>
  <si>
    <t>17/09/2025</t>
  </si>
  <si>
    <t>25001028024107</t>
  </si>
  <si>
    <t>16/09/2025</t>
  </si>
  <si>
    <t>25001029671701</t>
  </si>
  <si>
    <t>15/09/2025</t>
  </si>
  <si>
    <t>RISPARMIO CASA RAVENNA RAVENNA</t>
  </si>
  <si>
    <t>25001029661216</t>
  </si>
  <si>
    <t>25001028787988</t>
  </si>
  <si>
    <t>13/09/2025</t>
  </si>
  <si>
    <t>25001027637160</t>
  </si>
  <si>
    <t>25001026602978</t>
  </si>
  <si>
    <t>12/09/2025</t>
  </si>
  <si>
    <t>25001023984373</t>
  </si>
  <si>
    <t>11/09/2025</t>
  </si>
  <si>
    <t>ITALY DA CITIITMX URI 15002637731078 DA ITALY</t>
  </si>
  <si>
    <t>25001025453175</t>
  </si>
  <si>
    <t>10/09/2025</t>
  </si>
  <si>
    <t>25001023184888</t>
  </si>
  <si>
    <t>25001026560394</t>
  </si>
  <si>
    <t>25001024019103</t>
  </si>
  <si>
    <t>09/09/2025</t>
  </si>
  <si>
    <t>25001024107646</t>
  </si>
  <si>
    <t>25001024094730</t>
  </si>
  <si>
    <t>25001024120763</t>
  </si>
  <si>
    <t>25001022974075</t>
  </si>
  <si>
    <t>08/09/2025</t>
  </si>
  <si>
    <t>25001020293725</t>
  </si>
  <si>
    <t>affitto settembre 2025 DA DELL'ORSO CARLA</t>
  </si>
  <si>
    <t>25001021509192</t>
  </si>
  <si>
    <t>07/09/2025</t>
  </si>
  <si>
    <t>25001021696430</t>
  </si>
  <si>
    <t>06/09/2025</t>
  </si>
  <si>
    <t>25001019407203</t>
  </si>
  <si>
    <t>05/09/2025</t>
  </si>
  <si>
    <t>25001018869956</t>
  </si>
  <si>
    <t>04/09/2025</t>
  </si>
  <si>
    <t>25001016453634</t>
  </si>
  <si>
    <t>25001017085706</t>
  </si>
  <si>
    <t>Teatro</t>
  </si>
  <si>
    <t>25001016184637</t>
  </si>
  <si>
    <t>03/09/2025</t>
  </si>
  <si>
    <t>25001016235985</t>
  </si>
  <si>
    <t>25001016236002</t>
  </si>
  <si>
    <t>25001016235992</t>
  </si>
  <si>
    <t>25001073566872</t>
  </si>
  <si>
    <t>31/10/2025</t>
  </si>
  <si>
    <t>25001073072621</t>
  </si>
  <si>
    <t>BANCO BPM S.P.A. PAGAMENTO FINANZIAMENTO 01099/05633174 BANCA 05034 C/O BPVN PER RATA SCADENTE IL 31/10/2025</t>
  </si>
  <si>
    <t>25001074518527</t>
  </si>
  <si>
    <t>30/10/2025</t>
  </si>
  <si>
    <t>03/11/2025</t>
  </si>
  <si>
    <t>SAVINI VIVAI DI SAVINI COTIGNOLA</t>
  </si>
  <si>
    <t>25001073924117</t>
  </si>
  <si>
    <t>29/10/2025</t>
  </si>
  <si>
    <t>25001072676304</t>
  </si>
  <si>
    <t>28/10/2025</t>
  </si>
  <si>
    <t>25001072582685</t>
  </si>
  <si>
    <t>25001072600577</t>
  </si>
  <si>
    <t>25001072513410</t>
  </si>
  <si>
    <t>25001071438893</t>
  </si>
  <si>
    <t>27/10/2025</t>
  </si>
  <si>
    <t>25001071391411</t>
  </si>
  <si>
    <t>25001071685761</t>
  </si>
  <si>
    <t>CASA DI CURA SAN FRANC RAVENNA</t>
  </si>
  <si>
    <t>25001071391801</t>
  </si>
  <si>
    <t>25001069319423</t>
  </si>
  <si>
    <t>25001068320793</t>
  </si>
  <si>
    <t>24/10/2025</t>
  </si>
  <si>
    <t>25001068466108</t>
  </si>
  <si>
    <t>25001065438732</t>
  </si>
  <si>
    <t>22/10/2025</t>
  </si>
  <si>
    <t>Commissione bollettino</t>
  </si>
  <si>
    <t>Commissioni</t>
  </si>
  <si>
    <t>BOLLETTINO POSTE</t>
  </si>
  <si>
    <t>Bollettino</t>
  </si>
  <si>
    <t>25001067164839</t>
  </si>
  <si>
    <t>25001067303211</t>
  </si>
  <si>
    <t>25001063455506</t>
  </si>
  <si>
    <t>21/10/2025</t>
  </si>
  <si>
    <t>Engie Italia S.p.A. Bolletta n. MM.2025.3415329.0</t>
  </si>
  <si>
    <t>25001064979186</t>
  </si>
  <si>
    <t>20/10/2025</t>
  </si>
  <si>
    <t>Deichmann Calzature S. RAVENNA</t>
  </si>
  <si>
    <t>25001064872960</t>
  </si>
  <si>
    <t>25001064030366</t>
  </si>
  <si>
    <t>19/10/2025</t>
  </si>
  <si>
    <t>25001061924050</t>
  </si>
  <si>
    <t>17/10/2025</t>
  </si>
  <si>
    <t>BETTERSUSHI RAVENNA RAVENNA</t>
  </si>
  <si>
    <t>25001061945506</t>
  </si>
  <si>
    <t>ASPITVENEZIA VENEZIA</t>
  </si>
  <si>
    <t>25001061561572</t>
  </si>
  <si>
    <t>16/10/2025</t>
  </si>
  <si>
    <t>Benevity Donations MUENCHEN</t>
  </si>
  <si>
    <t>25001060625232</t>
  </si>
  <si>
    <t>15/10/2025</t>
  </si>
  <si>
    <t>25001058863860</t>
  </si>
  <si>
    <t>25001060640857</t>
  </si>
  <si>
    <t>ASPITFirenze ovest (st Firenze</t>
  </si>
  <si>
    <t>25001060511173</t>
  </si>
  <si>
    <t>14/10/2025</t>
  </si>
  <si>
    <t>TRENITALIA - PT WL ROMA</t>
  </si>
  <si>
    <t>25001059533761</t>
  </si>
  <si>
    <t>25001060851403</t>
  </si>
  <si>
    <t>25001060566273</t>
  </si>
  <si>
    <t>SOFIA ABBIGLIAMENTO RAVENNA</t>
  </si>
  <si>
    <t>25001058610247</t>
  </si>
  <si>
    <t>13/10/2025</t>
  </si>
  <si>
    <t>25001054727960</t>
  </si>
  <si>
    <t>09/10/2025</t>
  </si>
  <si>
    <t>25001053849454</t>
  </si>
  <si>
    <t>08/10/2025</t>
  </si>
  <si>
    <t>10/10/2025</t>
  </si>
  <si>
    <t>25001055249860</t>
  </si>
  <si>
    <t>25001051158084</t>
  </si>
  <si>
    <t>affitto Ottobre 25 DA DELL'ORSO CARLA</t>
  </si>
  <si>
    <t>25001051449439</t>
  </si>
  <si>
    <t>06/10/2025</t>
  </si>
  <si>
    <t>25001048821966</t>
  </si>
  <si>
    <t>25001051231695</t>
  </si>
  <si>
    <t>25001051243208</t>
  </si>
  <si>
    <t>25001047963070</t>
  </si>
  <si>
    <t>25001048407856</t>
  </si>
  <si>
    <t>04/10/2025</t>
  </si>
  <si>
    <t>25001048429093</t>
  </si>
  <si>
    <t>COSTACAFE SRL RAVENNA</t>
  </si>
  <si>
    <t>25001047461271</t>
  </si>
  <si>
    <t>03/10/2025</t>
  </si>
  <si>
    <t>PagoPA Banca Sella BIELLA</t>
  </si>
  <si>
    <t>25001046477998</t>
  </si>
  <si>
    <t>RIMB I DIG LEND IV1763739 DA 1/AZIMUT CAPITAL MANAGEMENT SGR SPA</t>
  </si>
  <si>
    <t>25001047293110</t>
  </si>
  <si>
    <t>ESSELUNGA SPA FORLI'</t>
  </si>
  <si>
    <t>25001045152766</t>
  </si>
  <si>
    <t>25001046879956</t>
  </si>
  <si>
    <t>25001045843514</t>
  </si>
  <si>
    <t>SP THE BOOK ULTIMATE LONDON</t>
  </si>
  <si>
    <t>Libri</t>
  </si>
  <si>
    <t>1437908554</t>
  </si>
  <si>
    <t>29/11/2025</t>
  </si>
  <si>
    <t>SPAZIO CONAD FORLI'</t>
  </si>
  <si>
    <t>1437164120</t>
  </si>
  <si>
    <t>28/11/2025</t>
  </si>
  <si>
    <t>AMAZON LUXEMBOURG</t>
  </si>
  <si>
    <t>25001102924522</t>
  </si>
  <si>
    <t>25001103875366</t>
  </si>
  <si>
    <t>27/11/2025</t>
  </si>
  <si>
    <t>01/12/2025</t>
  </si>
  <si>
    <t>LE FAVOLE RISTORANTE BAGNACAVALLO</t>
  </si>
  <si>
    <t>25001103943485</t>
  </si>
  <si>
    <t>PV3055 RAVENNA</t>
  </si>
  <si>
    <t>25001103823413</t>
  </si>
  <si>
    <t>25001101788834</t>
  </si>
  <si>
    <t>25001102838718</t>
  </si>
  <si>
    <t>26/11/2025</t>
  </si>
  <si>
    <t>25001103063012</t>
  </si>
  <si>
    <t>REBIBBIA 73 ROMA</t>
  </si>
  <si>
    <t>25001102839598</t>
  </si>
  <si>
    <t>25001101785852</t>
  </si>
  <si>
    <t>25/11/2025</t>
  </si>
  <si>
    <t>25001099974063</t>
  </si>
  <si>
    <t>23/11/2025</t>
  </si>
  <si>
    <t>25001099974058</t>
  </si>
  <si>
    <t>22/11/2025</t>
  </si>
  <si>
    <t>25001097635938</t>
  </si>
  <si>
    <t>21/11/2025</t>
  </si>
  <si>
    <t>24/11/2025</t>
  </si>
  <si>
    <t>LA PESCHERIA DI MAGALO RUSSI</t>
  </si>
  <si>
    <t>25001097724960</t>
  </si>
  <si>
    <t>25001096525146</t>
  </si>
  <si>
    <t>GSE CONV. SSP00237040 DI PASTORELLI CHIARA DOCUMENTI 202525172690S DA GESTORE DEI SERVIZI ENERGETICI - GS</t>
  </si>
  <si>
    <t>25001096516192</t>
  </si>
  <si>
    <t>GSE CONV. SSP01128003 DI BERTACCINI SIMONE DOCUMENTI 202525828522S DA GESTORE DEI SERVIZI ENERGETICI - GS</t>
  </si>
  <si>
    <t>25001097372003</t>
  </si>
  <si>
    <t>20/11/2025</t>
  </si>
  <si>
    <t>25001094900861</t>
  </si>
  <si>
    <t>Ric 10095 scad 20 11 2025, es IMPIANTO CITOFONICO Rata n 1 - Impianto citofonico ui A10</t>
  </si>
  <si>
    <t>MAV</t>
  </si>
  <si>
    <t>25001094720942</t>
  </si>
  <si>
    <t>19/11/2025</t>
  </si>
  <si>
    <t>XEON A SIMONE BERTACCINI</t>
  </si>
  <si>
    <t>25001094717639</t>
  </si>
  <si>
    <t>25001094717311</t>
  </si>
  <si>
    <t>DISINVESTIMENTO 2A6D5785-F574-4994-B1D1-0B4F495DB730 DA MFM INVESTMENT ITALIAN BRANCH</t>
  </si>
  <si>
    <t>25001097386073</t>
  </si>
  <si>
    <t>AMZN Mktp IT LUXEMBOURG</t>
  </si>
  <si>
    <t>25001092752523</t>
  </si>
  <si>
    <t>18/11/2025</t>
  </si>
  <si>
    <t>25001094604792</t>
  </si>
  <si>
    <t>17/11/2025</t>
  </si>
  <si>
    <t>25001094505327</t>
  </si>
  <si>
    <t>25001093305271</t>
  </si>
  <si>
    <t>16/11/2025</t>
  </si>
  <si>
    <t>HM IT0494 Ravenna</t>
  </si>
  <si>
    <t>25001093376242</t>
  </si>
  <si>
    <t>25001092270560</t>
  </si>
  <si>
    <t>15/11/2025</t>
  </si>
  <si>
    <t>SUPERMERCATO XX2755XX FAENZA</t>
  </si>
  <si>
    <t>25001089421064</t>
  </si>
  <si>
    <t>14/11/2025</t>
  </si>
  <si>
    <t>Ric 10054 scad 15 11 2025, es PRESTAZIONI PROFESSIONALI ADEGU AMENTO AUTORIMESSA Rata n 1 - Compenso profess autorimessa ui P A COP19</t>
  </si>
  <si>
    <t>25001090883502</t>
  </si>
  <si>
    <t>13/11/2025</t>
  </si>
  <si>
    <t>TRATTORIA LA MISERIA FAENZA</t>
  </si>
  <si>
    <t>25001090848285</t>
  </si>
  <si>
    <t>25001089135498</t>
  </si>
  <si>
    <t>25001089796739</t>
  </si>
  <si>
    <t>12/11/2025</t>
  </si>
  <si>
    <t>25001090109430</t>
  </si>
  <si>
    <t>HAPPY CASA STORE S.R.L FORLI'</t>
  </si>
  <si>
    <t>25001090028859</t>
  </si>
  <si>
    <t>PEPCO 220133 FORLI 1 FORLI</t>
  </si>
  <si>
    <t>25001089902006</t>
  </si>
  <si>
    <t>ARCAPLANET VIA EDITH . FORLI'</t>
  </si>
  <si>
    <t>25001090106950</t>
  </si>
  <si>
    <t>25001088783957</t>
  </si>
  <si>
    <t>11/11/2025</t>
  </si>
  <si>
    <t>25001088987617</t>
  </si>
  <si>
    <t>25001088643742</t>
  </si>
  <si>
    <t>25001086132352</t>
  </si>
  <si>
    <t>25001086815871</t>
  </si>
  <si>
    <t>09/11/2025</t>
  </si>
  <si>
    <t>NETFLIX.COM MILAN</t>
  </si>
  <si>
    <t>25001086504776</t>
  </si>
  <si>
    <t>25001086496103</t>
  </si>
  <si>
    <t>08/11/2025</t>
  </si>
  <si>
    <t>25001084231014</t>
  </si>
  <si>
    <t>07/11/2025</t>
  </si>
  <si>
    <t>10/11/2025</t>
  </si>
  <si>
    <t>VENCHI Milano Dante Milano</t>
  </si>
  <si>
    <t>25001083971575</t>
  </si>
  <si>
    <t>25001084187376</t>
  </si>
  <si>
    <t>25001084183572</t>
  </si>
  <si>
    <t>ARMIT RAHHAL COTIGNOLA</t>
  </si>
  <si>
    <t>25001084146152</t>
  </si>
  <si>
    <t>REVISIONI ROMAGNA SRL RUSSI</t>
  </si>
  <si>
    <t>Noleggio</t>
  </si>
  <si>
    <t>25001082960742</t>
  </si>
  <si>
    <t>05/11/2025</t>
  </si>
  <si>
    <t>25001083063144</t>
  </si>
  <si>
    <t>C &amp; A Moda 812 FIUMICINO</t>
  </si>
  <si>
    <t>25001082790136</t>
  </si>
  <si>
    <t>Lindt Da Vinci Fiumicino</t>
  </si>
  <si>
    <t>25001083133125</t>
  </si>
  <si>
    <t>AMI POKE' DA VINCI FIUMICINO</t>
  </si>
  <si>
    <t>25001082927792</t>
  </si>
  <si>
    <t>ALICAM SRL FIUMICINO</t>
  </si>
  <si>
    <t>25001082971470</t>
  </si>
  <si>
    <t>PEPCO 220107 FIUMICINO FIUMICINO</t>
  </si>
  <si>
    <t>25001083068365</t>
  </si>
  <si>
    <t>25001083047812</t>
  </si>
  <si>
    <t>GLOBO FIUMICINO</t>
  </si>
  <si>
    <t>25001083029078</t>
  </si>
  <si>
    <t>TERRANOVA FIUMICINO</t>
  </si>
  <si>
    <t>25001080492916</t>
  </si>
  <si>
    <t>affitto Novembre 2025 DA DELL'ORSO CARLA</t>
  </si>
  <si>
    <t>25001081773867</t>
  </si>
  <si>
    <t>04/11/2025</t>
  </si>
  <si>
    <t>06/11/2025</t>
  </si>
  <si>
    <t>25001081910440</t>
  </si>
  <si>
    <t>MCDONALD'S ROMA</t>
  </si>
  <si>
    <t>25001081701844</t>
  </si>
  <si>
    <t>PORTA HFB ECO ROMA</t>
  </si>
  <si>
    <t>25001083093629</t>
  </si>
  <si>
    <t>LEROY MERLIN ROMA</t>
  </si>
  <si>
    <t>25001076899332</t>
  </si>
  <si>
    <t>25001076728939</t>
  </si>
  <si>
    <t>25001080738404</t>
  </si>
  <si>
    <t>QUADRIFOGLIO SRL ROMA</t>
  </si>
  <si>
    <t>25001080879036</t>
  </si>
  <si>
    <t>IPER ROMA</t>
  </si>
  <si>
    <t>25001080779555</t>
  </si>
  <si>
    <t>PRENATAL ROMA</t>
  </si>
  <si>
    <t>25001080643644</t>
  </si>
  <si>
    <t>HM IT0328 Roma</t>
  </si>
  <si>
    <t>25001080729379</t>
  </si>
  <si>
    <t>25001080873423</t>
  </si>
  <si>
    <t>ESSO ROSATI ORTE</t>
  </si>
  <si>
    <t>25001080651151</t>
  </si>
  <si>
    <t>1459862742</t>
  </si>
  <si>
    <t>31/12/2025</t>
  </si>
  <si>
    <t>1459736604</t>
  </si>
  <si>
    <t>25001137497341</t>
  </si>
  <si>
    <t>25001137467012</t>
  </si>
  <si>
    <t>GSE CONV. E07E20122307 DI PASTORELLI CHIARA DOCUMENTI 202552903458 DA GESTORE DEI SERVIZI ENERGETICI - GS</t>
  </si>
  <si>
    <t>25001135920235</t>
  </si>
  <si>
    <t>30/12/2025</t>
  </si>
  <si>
    <t>25001137698473</t>
  </si>
  <si>
    <t>29/12/2025</t>
  </si>
  <si>
    <t>25001137512806</t>
  </si>
  <si>
    <t>25001135354323</t>
  </si>
  <si>
    <t>27/12/2025</t>
  </si>
  <si>
    <t>25001135317397</t>
  </si>
  <si>
    <t>ASPITCESENA NORD CESENA NORD</t>
  </si>
  <si>
    <t>25001136535963</t>
  </si>
  <si>
    <t>RIMINI HFB ECO RIMINI</t>
  </si>
  <si>
    <t>25001136540978</t>
  </si>
  <si>
    <t>25001135368902</t>
  </si>
  <si>
    <t>ASPITRIMINI NORD RIMINI NORD</t>
  </si>
  <si>
    <t>25001134108616</t>
  </si>
  <si>
    <t>24/12/2025</t>
  </si>
  <si>
    <t>25001132359884</t>
  </si>
  <si>
    <t>25001133310891</t>
  </si>
  <si>
    <t>23/12/2025</t>
  </si>
  <si>
    <t>25001130463140</t>
  </si>
  <si>
    <t>25001132474816</t>
  </si>
  <si>
    <t>22/12/2025</t>
  </si>
  <si>
    <t>25001132315086</t>
  </si>
  <si>
    <t>25001132538615</t>
  </si>
  <si>
    <t>25001132274498</t>
  </si>
  <si>
    <t>25001129364479</t>
  </si>
  <si>
    <t>Ric 10129 scad 20 12 2025, es IMPIANTO CITOFONICO Rata n 2 - Impianto citofonico ui A10</t>
  </si>
  <si>
    <t>25001131585289</t>
  </si>
  <si>
    <t>21/12/2025</t>
  </si>
  <si>
    <t>FELTRINELLI LIBRERIE FORLI' FC</t>
  </si>
  <si>
    <t>25001130051675</t>
  </si>
  <si>
    <t>20/12/2025</t>
  </si>
  <si>
    <t>25001131433531</t>
  </si>
  <si>
    <t>25001129817372</t>
  </si>
  <si>
    <t>25001128856541</t>
  </si>
  <si>
    <t>19/12/2025</t>
  </si>
  <si>
    <t>LIDL 1315 FAENZA</t>
  </si>
  <si>
    <t>25001128611018</t>
  </si>
  <si>
    <t>18/12/2025</t>
  </si>
  <si>
    <t>25001128615541</t>
  </si>
  <si>
    <t>25001124995589</t>
  </si>
  <si>
    <t>17/12/2025</t>
  </si>
  <si>
    <t>ITALY DA CITIITMX URI 15002662221078 DA ITALY</t>
  </si>
  <si>
    <t>25001126175392</t>
  </si>
  <si>
    <t>16/12/2025</t>
  </si>
  <si>
    <t>25001126086090</t>
  </si>
  <si>
    <t>25001126416225</t>
  </si>
  <si>
    <t>Amazon.it LUXEMBOURG</t>
  </si>
  <si>
    <t>25001131148671</t>
  </si>
  <si>
    <t>25001123203850</t>
  </si>
  <si>
    <t>Engie Italia S.p.A. Bolletta n. MM/2025/4146058/0</t>
  </si>
  <si>
    <t>25001123158319</t>
  </si>
  <si>
    <t>25001122611962</t>
  </si>
  <si>
    <t>15/12/2025</t>
  </si>
  <si>
    <t>25001122457020</t>
  </si>
  <si>
    <t>25001123782327</t>
  </si>
  <si>
    <t>14/12/2025</t>
  </si>
  <si>
    <t>BARBE-CUE DI MINARDI . RAVENNA</t>
  </si>
  <si>
    <t>25001123909489</t>
  </si>
  <si>
    <t>25001122519873</t>
  </si>
  <si>
    <t>13/12/2025</t>
  </si>
  <si>
    <t>AYAKI S.R.L IMOLA</t>
  </si>
  <si>
    <t>25001123868492</t>
  </si>
  <si>
    <t>0381 IPMK LUGO LUGO</t>
  </si>
  <si>
    <t>25001122292253</t>
  </si>
  <si>
    <t>ANGEL MERCATONE LUGO</t>
  </si>
  <si>
    <t>25001121414847</t>
  </si>
  <si>
    <t>12/12/2025</t>
  </si>
  <si>
    <t>25001121400644</t>
  </si>
  <si>
    <t>25001119287512</t>
  </si>
  <si>
    <t>Ric 10074 scad 15 12 2025, es PRESTAZIONI PROFESSIONALI ADEGU AMENTO AUTORIMESSA Rata n 2 - Compenso profess autorimessa ui P A COP19</t>
  </si>
  <si>
    <t>25001120996051</t>
  </si>
  <si>
    <t>11/12/2025</t>
  </si>
  <si>
    <t>SHEIN Dublin</t>
  </si>
  <si>
    <t>25001120150756</t>
  </si>
  <si>
    <t>10/12/2025</t>
  </si>
  <si>
    <t>25001119966570</t>
  </si>
  <si>
    <t>25001120047479</t>
  </si>
  <si>
    <t>25001118657658</t>
  </si>
  <si>
    <t>09/12/2025</t>
  </si>
  <si>
    <t>25001117402571</t>
  </si>
  <si>
    <t>08/12/2025</t>
  </si>
  <si>
    <t>KFC RAVENNA</t>
  </si>
  <si>
    <t>25001117167236</t>
  </si>
  <si>
    <t>25001117347203</t>
  </si>
  <si>
    <t>MASONE SRL FONTANELLATO</t>
  </si>
  <si>
    <t>25001117359876</t>
  </si>
  <si>
    <t>RISTORANTE PIZZERIA PARMA</t>
  </si>
  <si>
    <t>25001117044165</t>
  </si>
  <si>
    <t>COMPLESSO MONUMENTALE LANGHIRANO</t>
  </si>
  <si>
    <t>25001117157045</t>
  </si>
  <si>
    <t>ASPITTERRE DI CANOSSA TERRE DI CANO</t>
  </si>
  <si>
    <t>25001116149666</t>
  </si>
  <si>
    <t>07/12/2025</t>
  </si>
  <si>
    <t>FASTWEB SPA-RICARICHE MILANO</t>
  </si>
  <si>
    <t>25001115980822</t>
  </si>
  <si>
    <t>06/12/2025</t>
  </si>
  <si>
    <t>25001114322867</t>
  </si>
  <si>
    <t>05/12/2025</t>
  </si>
  <si>
    <t>25001114365702</t>
  </si>
  <si>
    <t>25001113320117</t>
  </si>
  <si>
    <t>25001114167647</t>
  </si>
  <si>
    <t>25001113727241</t>
  </si>
  <si>
    <t>04/12/2025</t>
  </si>
  <si>
    <t>25001110483636</t>
  </si>
  <si>
    <t>03/12/2025</t>
  </si>
  <si>
    <t>affitto Dicembre 2025 DA DELL'ORSO CARLA</t>
  </si>
  <si>
    <t>25001105657967</t>
  </si>
  <si>
    <t>BANCO BPM S.P.A. PAGAMENTO FINANZIAMENTO 01099/05633174 BANCA 05034 C/O BPVN PER RATA SCADENTE IL 30/11/2025</t>
  </si>
  <si>
    <t>1480052657</t>
  </si>
  <si>
    <t>30/01/2026</t>
  </si>
  <si>
    <t>TGTG pnbv4kf7pbeq0 Copenhagen</t>
  </si>
  <si>
    <t>1479749925</t>
  </si>
  <si>
    <t>UFFICIO DECENTRATO RON RAVENNA</t>
  </si>
  <si>
    <t>26001166701856</t>
  </si>
  <si>
    <t>26001163314636</t>
  </si>
  <si>
    <t>27/01/2026</t>
  </si>
  <si>
    <t>26001162900542</t>
  </si>
  <si>
    <t>26001163466630</t>
  </si>
  <si>
    <t>24/01/2026</t>
  </si>
  <si>
    <t>26001160252364</t>
  </si>
  <si>
    <t>21/01/2026</t>
  </si>
  <si>
    <t>23/01/2026</t>
  </si>
  <si>
    <t>TRATTORIA CASTEL DELL' NAPOLI</t>
  </si>
  <si>
    <t>26001160178664</t>
  </si>
  <si>
    <t>26001160376348</t>
  </si>
  <si>
    <t>26001160058402</t>
  </si>
  <si>
    <t>26001159301851</t>
  </si>
  <si>
    <t>20/01/2026</t>
  </si>
  <si>
    <t>22/01/2026</t>
  </si>
  <si>
    <t>26001157368650</t>
  </si>
  <si>
    <t>REGALO NASCITA MICHELE DA INVESTIRE IN ETC SU CATENINE DORO : A BERTACCINI MATTEO</t>
  </si>
  <si>
    <t>26001156540762</t>
  </si>
  <si>
    <t>Ric 10163 scad 20 01 2026, es IMPIANTO CITOFONICO Rata n 3 - Impianto citofonico ui A10</t>
  </si>
  <si>
    <t>26001158319550</t>
  </si>
  <si>
    <t>19/01/2026</t>
  </si>
  <si>
    <t>26001153910131</t>
  </si>
  <si>
    <t>14/01/2026</t>
  </si>
  <si>
    <t>16/01/2026</t>
  </si>
  <si>
    <t>26001154030907</t>
  </si>
  <si>
    <t>26001153867599</t>
  </si>
  <si>
    <t>26001154045241</t>
  </si>
  <si>
    <t>26001150126794</t>
  </si>
  <si>
    <t>13/01/2026</t>
  </si>
  <si>
    <t>26001151810942</t>
  </si>
  <si>
    <t>12/01/2026</t>
  </si>
  <si>
    <t>26001151947321</t>
  </si>
  <si>
    <t>26001151898240</t>
  </si>
  <si>
    <t>26001148602741</t>
  </si>
  <si>
    <t>10/01/2026</t>
  </si>
  <si>
    <t>26001145722710</t>
  </si>
  <si>
    <t>08/01/2026</t>
  </si>
  <si>
    <t>26001148179292</t>
  </si>
  <si>
    <t>26001143391373</t>
  </si>
  <si>
    <t>06/01/2026</t>
  </si>
  <si>
    <t>26001144002194</t>
  </si>
  <si>
    <t>05/01/2026</t>
  </si>
  <si>
    <t>07/01/2026</t>
  </si>
  <si>
    <t>AOSOM ITALY Assago</t>
  </si>
  <si>
    <t>26001143877257</t>
  </si>
  <si>
    <t>26001143836770</t>
  </si>
  <si>
    <t>26001142176407</t>
  </si>
  <si>
    <t>affitto Gennaio 26 meno 80 ( caldaia) DA DELL'ORSO CARLA</t>
  </si>
  <si>
    <t>26001143108771</t>
  </si>
  <si>
    <t>03/01/2026</t>
  </si>
  <si>
    <t>26001143069828</t>
  </si>
  <si>
    <t>26001140433514</t>
  </si>
  <si>
    <t>Condominio</t>
  </si>
  <si>
    <t>Mutui e prestiti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</si>
</sst>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_€"/>
  </numFmts>
  <fonts count="12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6"/>
      <color rgb="FF333333"/>
      <name val="Segoe U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0">
    <xf numFmtId="0" fontId="0" fillId="0" borderId="0" xfId="0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4" fontId="3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left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11" xfId="0" applyFont="1" applyBorder="1" applyAlignment="1">
      <alignment horizontal="left"/>
    </xf>
    <xf numFmtId="4" fontId="4" fillId="0" borderId="1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0" xfId="0" applyFont="1"/>
    <xf numFmtId="44" fontId="0" fillId="0" borderId="0" xfId="1" applyFont="1"/>
    <xf numFmtId="0" fontId="7" fillId="0" borderId="0" xfId="0" applyFont="1"/>
    <xf numFmtId="4" fontId="0" fillId="0" borderId="12" xfId="0" applyNumberFormat="1" applyBorder="1"/>
    <xf numFmtId="164" fontId="0" fillId="0" borderId="0" xfId="0" applyNumberFormat="1"/>
    <xf numFmtId="17" fontId="0" fillId="0" borderId="0" xfId="0" applyNumberFormat="1"/>
    <xf numFmtId="44" fontId="0" fillId="0" borderId="0" xfId="0" applyNumberFormat="1"/>
    <xf numFmtId="9" fontId="0" fillId="0" borderId="0" xfId="0" applyNumberFormat="1"/>
    <xf numFmtId="44" fontId="1" fillId="0" borderId="0" xfId="1" applyFont="1"/>
    <xf numFmtId="0" fontId="0" fillId="0" borderId="0" xfId="0" applyAlignment="1">
      <alignment horizontal="left" indent="1"/>
    </xf>
    <xf numFmtId="4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/>
    </xf>
    <xf numFmtId="4" fontId="3" fillId="3" borderId="1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4" fontId="3" fillId="3" borderId="8" xfId="0" applyNumberFormat="1" applyFont="1" applyFill="1" applyBorder="1" applyAlignment="1">
      <alignment horizontal="right"/>
    </xf>
    <xf numFmtId="0" fontId="3" fillId="3" borderId="9" xfId="0" applyFont="1" applyFill="1" applyBorder="1" applyAlignment="1">
      <alignment horizontal="left"/>
    </xf>
    <xf numFmtId="4" fontId="3" fillId="0" borderId="3" xfId="0" applyNumberFormat="1" applyFont="1" applyBorder="1" applyAlignment="1">
      <alignment horizontal="right"/>
    </xf>
    <xf numFmtId="4" fontId="3" fillId="0" borderId="9" xfId="0" applyNumberFormat="1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left"/>
    </xf>
    <xf numFmtId="0" fontId="0" fillId="0" borderId="10" xfId="0" applyBorder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/>
    <xf numFmtId="4" fontId="3" fillId="0" borderId="0" xfId="0" applyNumberFormat="1" applyFont="1" applyAlignment="1">
      <alignment horizontal="right"/>
    </xf>
    <xf numFmtId="0" fontId="11" fillId="0" borderId="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4" fontId="11" fillId="0" borderId="1" xfId="0" applyNumberFormat="1" applyFont="1" applyBorder="1" applyAlignment="1">
      <alignment horizontal="righ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25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8"/>
        </right>
        <top style="thin">
          <color indexed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right style="thin">
          <color indexed="8"/>
        </right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7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openxmlformats.org/officeDocument/2006/relationships/pivotCacheDefinition" Target="pivotCache/pivotCacheDefinition10.xml"/><Relationship Id="rId47" Type="http://schemas.openxmlformats.org/officeDocument/2006/relationships/pivotCacheDefinition" Target="pivotCache/pivotCacheDefinition15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5.xml"/><Relationship Id="rId40" Type="http://schemas.openxmlformats.org/officeDocument/2006/relationships/pivotCacheDefinition" Target="pivotCache/pivotCacheDefinition8.xml"/><Relationship Id="rId45" Type="http://schemas.openxmlformats.org/officeDocument/2006/relationships/pivotCacheDefinition" Target="pivotCache/pivotCacheDefinition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openxmlformats.org/officeDocument/2006/relationships/pivotCacheDefinition" Target="pivotCache/pivotCacheDefinition11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pivotCacheDefinition" Target="pivotCache/pivotCacheDefinition6.xml"/><Relationship Id="rId46" Type="http://schemas.openxmlformats.org/officeDocument/2006/relationships/pivotCacheDefinition" Target="pivotCache/pivotCacheDefinition14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8449075" createdVersion="8" refreshedVersion="8" minRefreshableVersion="3" recordCount="34" xr:uid="{61B087EC-4574-4C4F-AE6C-2137F80DB5D9}">
  <cacheSource type="worksheet">
    <worksheetSource name="Table16"/>
  </cacheSource>
  <cacheFields count="11">
    <cacheField name="Codice identificativo" numFmtId="0">
      <sharedItems containsBlank="1"/>
    </cacheField>
    <cacheField name="Data operazione" numFmtId="0">
      <sharedItems/>
    </cacheField>
    <cacheField name="Data valuta" numFmtId="0">
      <sharedItems containsDate="1" containsMixedTypes="1" minDate="2026-01-31T00:00:00" maxDate="2026-02-01T00:00:00"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3000" maxValue="3326.29"/>
    </cacheField>
    <cacheField name="Escludi" numFmtId="4">
      <sharedItems containsBlank="1" count="2">
        <m/>
        <s v="x"/>
      </sharedItems>
    </cacheField>
    <cacheField name="Categoria" numFmtId="0">
      <sharedItems count="11">
        <s v="Casa e famiglia"/>
        <s v="Shopping"/>
        <s v="Tasse, servizi e commissioni"/>
        <s v="Salute e benessere"/>
        <s v="Affitto"/>
        <s v="Altre spese"/>
        <s v="Viaggi e trasporti"/>
        <s v="Bar e ristoranti"/>
        <s v="Trasferimenti"/>
        <s v="Lavoro"/>
        <s v="Mutui e prestiti"/>
      </sharedItems>
    </cacheField>
    <cacheField name="Sottocategoria" numFmtId="0">
      <sharedItems count="17">
        <s v="Animali"/>
        <s v="Calzature"/>
        <s v="Tasse e Tributi"/>
        <s v="Arredamento"/>
        <s v="Alimentari"/>
        <s v="Farmacia"/>
        <s v="-"/>
        <s v="Varie"/>
        <s v="Commissioni e interessi bancari"/>
        <s v="Abbonamenti"/>
        <s v="Abbigliamento"/>
        <s v="Parcheggi e Biglietti"/>
        <s v="Pizzerie e Ristoranti"/>
        <s v="Regali e Donazioni"/>
        <s v="Condominio"/>
        <s v="Mutui"/>
        <s v="Bollettini" u="1"/>
      </sharedItems>
    </cacheField>
    <cacheField name="Etichette" numFmtId="0">
      <sharedItems containsBlank="1"/>
    </cacheField>
    <cacheField name="Note" numFmtId="4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8680552" createdVersion="8" refreshedVersion="8" minRefreshableVersion="3" recordCount="56" xr:uid="{6D712E80-0F93-43DC-A783-4EA3BFFA2A19}">
  <cacheSource type="worksheet">
    <worksheetSource name="Table10"/>
  </cacheSource>
  <cacheFields count="11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10000" maxValue="3827.91"/>
    </cacheField>
    <cacheField name="Categoria" numFmtId="0">
      <sharedItems count="14">
        <s v="Trasferimenti"/>
        <s v="Mutui e prestiti"/>
        <s v="Altre spese"/>
        <s v="Casa e famiglia"/>
        <s v="Tasse, servizi e commissioni"/>
        <s v="Shopping"/>
        <s v="Bar e ristoranti"/>
        <s v="Salute e benessere"/>
        <s v="Viaggi e trasporti"/>
        <s v="Tempo libero"/>
        <s v="Rimborsi"/>
        <s v="Entrate varie"/>
        <s v="Affitto"/>
        <s v="Lavoro"/>
      </sharedItems>
    </cacheField>
    <cacheField name="Sottocategoria" numFmtId="0">
      <sharedItems count="22">
        <s v="Investimenti"/>
        <s v="Altre carte di credito"/>
        <s v="Mutui"/>
        <s v="Prelievo contanti"/>
        <s v="Spese condominiali"/>
        <s v="Animali"/>
        <s v="Bollette"/>
        <s v="Bollettini"/>
        <s v="Varie"/>
        <s v="Pizzerie e Ristoranti"/>
        <s v="Alimentari"/>
        <s v="Farmacia"/>
        <s v="Hotel"/>
        <s v="Carburante"/>
        <s v="Manutenzione e Ristrutturazioni"/>
        <s v="Cinema"/>
        <s v="Abbonamenti"/>
        <s v="Bar"/>
        <s v="Telepass e Pedaggi"/>
        <s v="Abbigliamento"/>
        <s v="-"/>
        <s v="Finanziamenti e Prestiti" u="1"/>
      </sharedItems>
    </cacheField>
    <cacheField name="Escludi" numFmtId="0">
      <sharedItems containsBlank="1" count="2">
        <s v="x"/>
        <m/>
      </sharedItems>
    </cacheField>
    <cacheField name="Etichette" numFmtId="0">
      <sharedItems/>
    </cacheField>
    <cacheField name="Note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8796298" createdVersion="8" refreshedVersion="8" minRefreshableVersion="3" recordCount="53" xr:uid="{0A28DBAD-2212-4D25-84F5-AAB4C80249C7}">
  <cacheSource type="worksheet">
    <worksheetSource name="Table9"/>
  </cacheSource>
  <cacheFields count="11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4000" maxValue="9986.11"/>
    </cacheField>
    <cacheField name="Escluso" numFmtId="4">
      <sharedItems containsBlank="1" count="2">
        <m/>
        <s v="x"/>
      </sharedItems>
    </cacheField>
    <cacheField name="Categoria" numFmtId="0">
      <sharedItems count="13">
        <s v="Trasferimenti"/>
        <s v="Bar e ristoranti"/>
        <s v="Tasse, servizi e commissioni"/>
        <s v="Casa e famiglia"/>
        <s v="Affitto"/>
        <s v="Entrate varie"/>
        <s v="Shopping"/>
        <s v="Viaggi e trasporti"/>
        <s v="Rimborsi"/>
        <s v="Lavoro"/>
        <s v="Mutui e prestiti"/>
        <s v="Tempo libero"/>
        <s v="Altre spese" u="1"/>
      </sharedItems>
    </cacheField>
    <cacheField name="Sottocategoria" numFmtId="0">
      <sharedItems count="19">
        <s v="Varie"/>
        <s v="Pizzerie e Ristoranti"/>
        <s v="Bollettini"/>
        <s v="Animali"/>
        <s v="Alimentari"/>
        <s v="Commissioni e interessi bancari"/>
        <s v="-"/>
        <s v="Abbonamenti"/>
        <s v="Parcheggi e Biglietti"/>
        <s v="Carburante"/>
        <s v="Articoli sportivi"/>
        <s v="Accessori"/>
        <s v="Abbigliamento"/>
        <s v="Bar"/>
        <s v="Investimenti"/>
        <s v="Mutui"/>
        <s v="Internet"/>
        <s v="Cinema"/>
        <s v="Finanziamenti e Prestiti" u="1"/>
      </sharedItems>
    </cacheField>
    <cacheField name="Etichette" numFmtId="0">
      <sharedItems/>
    </cacheField>
    <cacheField name="Note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8912037" createdVersion="8" refreshedVersion="8" minRefreshableVersion="3" recordCount="49" xr:uid="{DE1D3C9A-3DA2-4D64-B697-4058AD623B3D}">
  <cacheSource type="worksheet">
    <worksheetSource name="Table7"/>
  </cacheSource>
  <cacheFields count="11">
    <cacheField name="Codice identificativo" numFmtId="0">
      <sharedItems containsBlank="1"/>
    </cacheField>
    <cacheField name="Data operazione" numFmtId="0">
      <sharedItems containsDate="1" containsMixedTypes="1" minDate="2025-05-02T00:00:00" maxDate="2025-05-03T00:00:00"/>
    </cacheField>
    <cacheField name="Data valuta" numFmtId="0">
      <sharedItems containsDate="1" containsMixedTypes="1" minDate="2025-05-02T00:00:00" maxDate="2025-05-03T00:00:00"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5000" maxValue="2774.79"/>
    </cacheField>
    <cacheField name="Escluso" numFmtId="4">
      <sharedItems containsBlank="1" count="2">
        <m/>
        <s v="x"/>
      </sharedItems>
    </cacheField>
    <cacheField name="Categoria" numFmtId="0">
      <sharedItems count="11">
        <s v="Mutui e prestiti"/>
        <s v="Altre spese"/>
        <s v="Trasferimenti"/>
        <s v="Salute e benessere"/>
        <s v="Casa e famiglia"/>
        <s v="Viaggi e trasporti"/>
        <s v="Affitto"/>
        <s v="Bar e ristoranti"/>
        <s v="Shopping"/>
        <s v="Entrate varie"/>
        <s v="Lavoro"/>
      </sharedItems>
    </cacheField>
    <cacheField name="Sottocategoria" numFmtId="0">
      <sharedItems count="20">
        <s v="Mutui"/>
        <s v="Varie"/>
        <s v="Altre carte di credito"/>
        <s v="Assistenza medica"/>
        <s v="Alimentari"/>
        <s v="Parcheggi e Biglietti"/>
        <s v="-"/>
        <s v="Pizzerie e Ristoranti"/>
        <s v="Farmacia"/>
        <s v="Abbigliamento"/>
        <s v="Abbonamenti"/>
        <s v="Spese mediche"/>
        <s v="Bar"/>
        <s v="Investimenti"/>
        <s v="Articoli sportivi"/>
        <s v="Animali"/>
        <s v="Associazioni e Club"/>
        <s v="Carburante"/>
        <s v="Benessere e Relax"/>
        <s v="Telepass e Pedaggi"/>
      </sharedItems>
    </cacheField>
    <cacheField name="Etichette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8912037" createdVersion="8" refreshedVersion="8" minRefreshableVersion="3" recordCount="40" xr:uid="{D70F71DF-949E-4991-959A-83007CCC0874}">
  <cacheSource type="worksheet">
    <worksheetSource name="Table4"/>
  </cacheSource>
  <cacheFields count="10">
    <cacheField name="Codice identificativo" numFmtId="0">
      <sharedItems containsBlank="1"/>
    </cacheField>
    <cacheField name="Data operazione" numFmtId="0">
      <sharedItems containsBlank="1"/>
    </cacheField>
    <cacheField name="Data valuta" numFmtId="0">
      <sharedItems containsDate="1" containsMixedTypes="1" minDate="2025-02-03T00:00:00" maxDate="2025-02-18T00:00:00"/>
    </cacheField>
    <cacheField name="Descrizione" numFmtId="0">
      <sharedItems/>
    </cacheField>
    <cacheField name="Divisa" numFmtId="0">
      <sharedItems/>
    </cacheField>
    <cacheField name="Escludi" numFmtId="0">
      <sharedItems containsNonDate="0" containsString="0" containsBlank="1" count="1">
        <m/>
      </sharedItems>
    </cacheField>
    <cacheField name="Importo" numFmtId="4">
      <sharedItems containsSemiMixedTypes="0" containsString="0" containsNumber="1" minValue="-1193.3" maxValue="3525.4"/>
    </cacheField>
    <cacheField name="Categoria" numFmtId="0">
      <sharedItems count="11">
        <s v="Tempo libero"/>
        <s v="Casa e famiglia"/>
        <s v="Shopping"/>
        <s v="Trasferimenti"/>
        <s v="Affitto"/>
        <s v="Altre spese"/>
        <s v="Bar e ristoranti"/>
        <s v="Salute e benessere"/>
        <s v="Viaggi e trasporti"/>
        <s v="Lavoro"/>
        <s v="Mutui e prestiti"/>
      </sharedItems>
    </cacheField>
    <cacheField name="Sottocategoria" numFmtId="0">
      <sharedItems count="20">
        <s v="Varie"/>
        <s v="Alimentari"/>
        <s v="Manutenzione e Ristrutturazioni"/>
        <s v="Altre carte di credito"/>
        <s v="-"/>
        <s v="Abbonamenti"/>
        <s v="Prelievo contanti"/>
        <s v="Animali"/>
        <s v="Cinema"/>
        <s v="Pizzerie e Ristoranti"/>
        <s v="Farmacia"/>
        <s v="Telepass e Pedaggi"/>
        <s v="Bar"/>
        <s v="Bollette"/>
        <s v="Attività professionali"/>
        <s v="Manutenzione"/>
        <s v="Mutui"/>
        <s v="Vacanze"/>
        <s v="Mutuo" u="1"/>
        <s v="Finanziamenti e Prestiti" u="1"/>
      </sharedItems>
    </cacheField>
    <cacheField name="Etichet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027775" createdVersion="8" refreshedVersion="8" minRefreshableVersion="3" recordCount="56" xr:uid="{A2301BA8-F6CF-42BF-9B0D-86A6912F2917}">
  <cacheSource type="worksheet">
    <worksheetSource name="Table1"/>
  </cacheSource>
  <cacheFields count="10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5000" maxValue="3618.28"/>
    </cacheField>
    <cacheField name="Escluso" numFmtId="4">
      <sharedItems containsBlank="1" count="2">
        <m/>
        <s v="x"/>
      </sharedItems>
    </cacheField>
    <cacheField name="Categoria" numFmtId="0">
      <sharedItems count="12">
        <s v="Bar e ristoranti"/>
        <s v="Trasferimenti"/>
        <s v="Casa e famiglia"/>
        <s v="Salute e benessere"/>
        <s v="Shopping"/>
        <s v="Affitto"/>
        <s v="Giroconti"/>
        <s v="Viaggi e trasporti"/>
        <s v="Lavoro"/>
        <s v="Mutui e prestiti"/>
        <s v="Entrate varie"/>
        <s v="Altre spese" u="1"/>
      </sharedItems>
    </cacheField>
    <cacheField name="Sottocategoria" numFmtId="0">
      <sharedItems count="20">
        <s v="Pizzerie e Ristoranti"/>
        <s v="Varie"/>
        <s v="Alimentari"/>
        <s v="Farmacia"/>
        <s v="Abbigliamento"/>
        <s v="-"/>
        <s v="Altre carte di credito"/>
        <s v="Spese mediche"/>
        <s v="Assistenza medica"/>
        <s v="Animali"/>
        <s v="Abbonamenti"/>
        <s v="Treni"/>
        <s v="Carburante"/>
        <s v="Bollette"/>
        <s v="Parcheggi e Biglietti"/>
        <s v="Arredamento"/>
        <s v="Manutenzione e Ristrutturazioni"/>
        <s v="Telepass e Pedaggi"/>
        <s v="Mutui"/>
        <s v="Finanziamenti e Prestiti" u="1"/>
      </sharedItems>
    </cacheField>
    <cacheField name="Etichet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143521" createdVersion="8" refreshedVersion="8" minRefreshableVersion="3" recordCount="37" xr:uid="{7C02D51C-0451-4FC8-8082-BC5E7E59F412}">
  <cacheSource type="worksheet">
    <worksheetSource name="Table3"/>
  </cacheSource>
  <cacheFields count="10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3000" maxValue="2591.8000000000002"/>
    </cacheField>
    <cacheField name="Escluso" numFmtId="4">
      <sharedItems containsBlank="1" count="2">
        <m/>
        <s v="x"/>
      </sharedItems>
    </cacheField>
    <cacheField name="Categoria" numFmtId="0">
      <sharedItems count="12">
        <s v="Casa e famiglia"/>
        <s v="Giroconti"/>
        <s v="Tasse, servizi e commissioni"/>
        <s v="Shopping"/>
        <s v="Bar e ristoranti"/>
        <s v="Trasferimenti"/>
        <s v="Affitto"/>
        <s v="Altre spese"/>
        <s v="Viaggi e trasporti"/>
        <s v="Salute e benessere"/>
        <s v="Lavoro"/>
        <s v="Mutui e prestiti"/>
      </sharedItems>
    </cacheField>
    <cacheField name="Sottocategoria" numFmtId="0">
      <sharedItems count="15">
        <s v="Alimentari"/>
        <s v="-"/>
        <s v="Bollettini"/>
        <s v="Abbigliamento"/>
        <s v="Bar"/>
        <s v="Altre carte di credito"/>
        <s v="Varie"/>
        <s v="Prelievo contanti"/>
        <s v="Commissioni e interessi bancari"/>
        <s v="Animali"/>
        <s v="Abbonamenti"/>
        <s v="Farmacia"/>
        <s v="Pizzerie e Ristoranti"/>
        <s v="Mutui"/>
        <s v="Investimenti" u="1"/>
      </sharedItems>
    </cacheField>
    <cacheField name="Etichet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143521" createdVersion="8" refreshedVersion="8" minRefreshableVersion="3" recordCount="45" xr:uid="{5B693746-E4F0-4457-A2A0-4BD2AB27E7BD}">
  <cacheSource type="worksheet">
    <worksheetSource name="Table5"/>
  </cacheSource>
  <cacheFields count="10">
    <cacheField name="Codice identificativo" numFmtId="0">
      <sharedItems containsBlank="1"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Escluso" numFmtId="0">
      <sharedItems containsNonDate="0" containsString="0" containsBlank="1" count="1">
        <m/>
      </sharedItems>
    </cacheField>
    <cacheField name="Importo" numFmtId="4">
      <sharedItems containsSemiMixedTypes="0" containsString="0" containsNumber="1" minValue="-1193.3" maxValue="2683.66"/>
    </cacheField>
    <cacheField name="Categoria" numFmtId="0">
      <sharedItems count="9">
        <s v="Shopping"/>
        <s v="Casa e famiglia"/>
        <s v="Viaggi e trasporti"/>
        <s v="Affitto"/>
        <s v="Bar e ristoranti"/>
        <s v="Salute e benessere"/>
        <s v="Lavoro"/>
        <s v="Mutui e prestiti"/>
        <s v="Altre spese" u="1"/>
      </sharedItems>
    </cacheField>
    <cacheField name="Sottocategoria" numFmtId="0">
      <sharedItems count="20">
        <s v="Varie"/>
        <s v="Calzature"/>
        <s v="Animali"/>
        <s v="Abbigliamento"/>
        <s v="Vacanze"/>
        <s v="Alimentari"/>
        <s v="-"/>
        <s v="Abbonamenti"/>
        <s v="Pizzerie e Ristoranti"/>
        <s v="Carburante"/>
        <s v="Articoli sportivi"/>
        <s v="Farmacia"/>
        <s v="Elettronica "/>
        <s v="Accessori"/>
        <s v="Telepass e Pedaggi"/>
        <s v="Bar"/>
        <s v="Mutui"/>
        <s v="Bollette"/>
        <s v="Aerei" u="1"/>
        <s v="Mutuo" u="1"/>
      </sharedItems>
    </cacheField>
    <cacheField name="Etichet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25926" createdVersion="8" refreshedVersion="8" minRefreshableVersion="3" recordCount="59" xr:uid="{77648B01-8A97-47FF-85CD-958032AB6D7B}">
  <cacheSource type="worksheet">
    <worksheetSource name="Table8"/>
  </cacheSource>
  <cacheFields count="10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4000" maxValue="5813.61"/>
    </cacheField>
    <cacheField name="Escluso" numFmtId="4">
      <sharedItems containsBlank="1" count="2">
        <m/>
        <s v="x"/>
      </sharedItems>
    </cacheField>
    <cacheField name="Categoria" numFmtId="0">
      <sharedItems count="13">
        <s v="Casa e famiglia"/>
        <s v="Viaggi e trasporti"/>
        <s v="Altre spese"/>
        <s v="Salute e benessere"/>
        <s v="Bar e ristoranti"/>
        <s v="Tasse, servizi e commissioni"/>
        <s v="Affitto"/>
        <s v="Trasferimenti"/>
        <s v="Lavoro"/>
        <s v="Rimborsi"/>
        <s v="Shopping"/>
        <s v="Entrate varie"/>
        <s v="Mutui e prestiti"/>
      </sharedItems>
    </cacheField>
    <cacheField name="Sottocategoria" numFmtId="0">
      <sharedItems count="22">
        <s v="Alimentari"/>
        <s v="Telepass e Pedaggi"/>
        <s v="Regali e Donazioni"/>
        <s v="Farmacia"/>
        <s v="Pizzerie e Ristoranti"/>
        <s v="Bollettini"/>
        <s v="Bar"/>
        <s v="Varie"/>
        <s v="-"/>
        <s v="Altre carte di credito"/>
        <s v="Commissioni e interessi bancari"/>
        <s v="Carburante"/>
        <s v="Benessere e Relax"/>
        <s v="Abbonamenti"/>
        <s v="Animali"/>
        <s v="Manutenzione e Ristrutturazioni"/>
        <s v="Bollette"/>
        <s v="Spese mediche"/>
        <s v="Abbigliamento"/>
        <s v="Sport e Hobbies"/>
        <s v="Mutui"/>
        <s v="Finanziamenti e Prestiti" u="1"/>
      </sharedItems>
    </cacheField>
    <cacheField name="Etichet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25926" createdVersion="8" refreshedVersion="8" minRefreshableVersion="3" recordCount="53" xr:uid="{EF8C4E8B-78B3-47AF-A753-BD194AC505DC}">
  <cacheSource type="worksheet">
    <worksheetSource name="Table12"/>
  </cacheSource>
  <cacheFields count="11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5000" maxValue="7824.67"/>
    </cacheField>
    <cacheField name="Escludi" numFmtId="4">
      <sharedItems containsBlank="1" count="2">
        <m/>
        <s v="x"/>
      </sharedItems>
    </cacheField>
    <cacheField name="Categoria" numFmtId="0">
      <sharedItems containsBlank="1" count="14">
        <s v="Viaggi e trasporti"/>
        <s v="Shopping"/>
        <s v="Tempo libero"/>
        <s v="Trasferimenti"/>
        <s v="Altre spese"/>
        <s v="Casa e famiglia"/>
        <s v="Salute e benessere"/>
        <s v="Affitto"/>
        <s v="Bar e ristoranti"/>
        <s v="Rimborsi"/>
        <s v="Lavoro"/>
        <s v="Mutui e prestiti"/>
        <s v="Entrate varie"/>
        <m u="1"/>
      </sharedItems>
    </cacheField>
    <cacheField name="Sottocategoria" numFmtId="0">
      <sharedItems containsBlank="1" count="19">
        <s v="Hotel"/>
        <s v="Parcheggi e Biglietti"/>
        <s v="Varie"/>
        <s v="Teatro"/>
        <s v="Altre carte di credito"/>
        <s v="Alimentari"/>
        <s v="Animali"/>
        <s v="Spese mediche"/>
        <s v="-"/>
        <s v="Bar"/>
        <s v="Investimenti"/>
        <s v="Farmacia"/>
        <s v="Pizzerie e Ristoranti"/>
        <s v="Elettronica "/>
        <s v="Telepass e Pedaggi"/>
        <s v="Assistenza medica"/>
        <s v="Mutui"/>
        <s v="Finanziamenti e Prestiti" u="1"/>
        <m u="1"/>
      </sharedItems>
    </cacheField>
    <cacheField name="Etichette" numFmtId="0">
      <sharedItems/>
    </cacheField>
    <cacheField name="Note" numFmtId="4">
      <sharedItems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374999" createdVersion="8" refreshedVersion="8" minRefreshableVersion="3" recordCount="51" xr:uid="{2D6322C8-2070-4D48-8104-E9E878AF352A}">
  <cacheSource type="worksheet">
    <worksheetSource name="Table13"/>
  </cacheSource>
  <cacheFields count="11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5000" maxValue="2614.7199999999998"/>
    </cacheField>
    <cacheField name="Escludi" numFmtId="4">
      <sharedItems containsBlank="1" count="2">
        <m/>
        <s v="x"/>
      </sharedItems>
    </cacheField>
    <cacheField name="Categoria" numFmtId="0">
      <sharedItems count="13">
        <s v="Tempo libero"/>
        <s v="Viaggi e trasporti"/>
        <s v="Tasse, servizi e commissioni"/>
        <s v="Casa e famiglia"/>
        <s v="Entrate varie"/>
        <s v="Bar e ristoranti"/>
        <s v="Trasferimenti"/>
        <s v="Shopping"/>
        <s v="Affitto"/>
        <s v="Salute e benessere"/>
        <s v="Altre spese"/>
        <s v="Lavoro"/>
        <s v="Mutui e prestiti"/>
      </sharedItems>
    </cacheField>
    <cacheField name="Sottocategoria" numFmtId="0">
      <sharedItems count="27">
        <s v="Libri"/>
        <s v="Carburante"/>
        <s v="Bollettini"/>
        <s v="Tasse e Tributi"/>
        <s v="Alimentari"/>
        <s v="-"/>
        <s v="Pizzerie e Ristoranti"/>
        <s v="Bar"/>
        <s v="Animali"/>
        <s v="Commissioni e interessi bancari"/>
        <s v="Parcheggi e Biglietti"/>
        <s v="Altre carte di credito"/>
        <s v="Varie"/>
        <s v="Abbigliamento"/>
        <s v="Abbonamenti"/>
        <s v="Treni"/>
        <s v="Farmacia"/>
        <s v="Investimenti"/>
        <s v="Telepass e Pedaggi"/>
        <s v="Regali e Donazioni"/>
        <s v="Manutenzione e Ristrutturazioni"/>
        <s v="Calzature"/>
        <s v="Bollette"/>
        <s v="Assistenza medica"/>
        <s v="Arredamento"/>
        <s v="Mutui"/>
        <s v="Finanziamenti e Prestiti" u="1"/>
      </sharedItems>
    </cacheField>
    <cacheField name="Etichette" numFmtId="0">
      <sharedItems/>
    </cacheField>
    <cacheField name="Note" numFmtId="4">
      <sharedItems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490737" createdVersion="8" refreshedVersion="8" minRefreshableVersion="3" recordCount="74" xr:uid="{B0391E78-A4CA-4431-BFBB-7D2DD8BF2919}">
  <cacheSource type="worksheet">
    <worksheetSource name="Table14"/>
  </cacheSource>
  <cacheFields count="11">
    <cacheField name="Codice identificativo" numFmtId="0">
      <sharedItems containsBlank="1"/>
    </cacheField>
    <cacheField name="Data operazione" numFmtId="0">
      <sharedItems containsDate="1" containsMixedTypes="1" minDate="2025-11-30T00:00:00" maxDate="2025-12-01T00:00:00"/>
    </cacheField>
    <cacheField name="Data valuta" numFmtId="0">
      <sharedItems containsDate="1" containsMixedTypes="1" minDate="2025-11-30T00:00:00" maxDate="2025-12-01T00:00:00"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20000" maxValue="26139.66"/>
    </cacheField>
    <cacheField name="Escludi" numFmtId="4">
      <sharedItems containsBlank="1" count="2">
        <m/>
        <s v="x"/>
      </sharedItems>
    </cacheField>
    <cacheField name="Categoria" numFmtId="0">
      <sharedItems count="12">
        <s v="Mutui e prestiti"/>
        <s v="Salute e benessere"/>
        <s v="Shopping"/>
        <s v="Viaggi e trasporti"/>
        <s v="Casa e famiglia"/>
        <s v="Trasferimenti"/>
        <s v="Bar e ristoranti"/>
        <s v="Affitto"/>
        <s v="Tasse, servizi e commissioni"/>
        <s v="Altre spese"/>
        <s v="Entrate varie"/>
        <s v="Lavoro"/>
      </sharedItems>
    </cacheField>
    <cacheField name="Sottocategoria" numFmtId="0">
      <sharedItems count="23">
        <s v="Mutui"/>
        <s v="Farmacia"/>
        <s v="Abbigliamento"/>
        <s v="Hotel"/>
        <s v="Carburante"/>
        <s v="Telepass e Pedaggi"/>
        <s v="Alimentari"/>
        <s v="Arredamento"/>
        <s v="Altre carte di credito"/>
        <s v="Varie"/>
        <s v="Bar"/>
        <s v="Pizzerie e Ristoranti"/>
        <s v="Accessori"/>
        <s v="Calzature"/>
        <s v="-"/>
        <s v="Noleggio"/>
        <s v="Manutenzione e Ristrutturazioni"/>
        <s v="Abbonamenti"/>
        <s v="Animali"/>
        <s v="Assistenza medica"/>
        <s v="Investimenti"/>
        <s v="Bollettini"/>
        <s v="Parcheggi e Biglietti"/>
      </sharedItems>
    </cacheField>
    <cacheField name="Etichette" numFmtId="0">
      <sharedItems containsBlank="1"/>
    </cacheField>
    <cacheField name="Note" numFmtId="4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490737" createdVersion="8" refreshedVersion="8" minRefreshableVersion="3" recordCount="65" xr:uid="{3062174F-8DCD-4314-B034-7668A133CF18}">
  <cacheSource type="worksheet">
    <worksheetSource name="Table15"/>
  </cacheSource>
  <cacheFields count="11">
    <cacheField name="Codice identificativo" numFmtId="0">
      <sharedItems/>
    </cacheField>
    <cacheField name="Data operazione" numFmtId="0">
      <sharedItems/>
    </cacheField>
    <cacheField name="Data valuta" numFmtId="0">
      <sharedItems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3000" maxValue="3688.79"/>
    </cacheField>
    <cacheField name="Escludi" numFmtId="4">
      <sharedItems containsBlank="1" count="2">
        <m/>
        <s v="x"/>
      </sharedItems>
    </cacheField>
    <cacheField name="Categoria" numFmtId="0">
      <sharedItems count="14">
        <s v="Mutui e prestiti"/>
        <s v="Affitto"/>
        <s v="Bar e ristoranti"/>
        <s v="Trasferimenti"/>
        <s v="Casa e famiglia"/>
        <s v="Shopping"/>
        <s v="Viaggi e trasporti"/>
        <s v="Lavoro"/>
        <s v="Salute e benessere"/>
        <s v="Rimborsi"/>
        <s v="Tempo libero"/>
        <s v="Altre spese" u="1"/>
        <s v="Tasse, servizi e commissioni" u="1"/>
        <s v="Entrate varie" u="1"/>
      </sharedItems>
    </cacheField>
    <cacheField name="Sottocategoria" numFmtId="0">
      <sharedItems count="22">
        <s v="Mutui"/>
        <s v="-"/>
        <s v="Bar"/>
        <s v="Investimenti"/>
        <s v="Animali"/>
        <s v="Abbigliamento"/>
        <s v="Alimentari"/>
        <s v="Internet"/>
        <s v="Hotel"/>
        <s v="Pizzerie e Ristoranti"/>
        <s v="Varie"/>
        <s v="Telepass e Pedaggi"/>
        <s v="Abbonamenti"/>
        <s v="Spese condominiali"/>
        <s v="Bollette"/>
        <s v="Farmacia"/>
        <s v="Arredamento"/>
        <s v="Libri"/>
        <s v="Manutenzione e Ristrutturazioni"/>
        <s v="Finanziamenti e Prestiti" u="1"/>
        <s v="Bollettini" u="1"/>
        <s v="Tasse e Tributi" u="1"/>
      </sharedItems>
    </cacheField>
    <cacheField name="Etichette" numFmtId="0">
      <sharedItems/>
    </cacheField>
    <cacheField name="Note" numFmtId="4">
      <sharedItems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2709606483" createdVersion="8" refreshedVersion="8" minRefreshableVersion="3" recordCount="57" xr:uid="{FACAD4E4-B26E-454F-BBAF-A6A86158760E}">
  <cacheSource type="worksheet">
    <worksheetSource name="Table2"/>
  </cacheSource>
  <cacheFields count="10">
    <cacheField name="Codice identificativo" numFmtId="0">
      <sharedItems containsBlank="1"/>
    </cacheField>
    <cacheField name="Data operazione" numFmtId="0">
      <sharedItems containsDate="1" containsMixedTypes="1" minDate="2024-11-01T00:00:00" maxDate="2024-11-02T00:00:00"/>
    </cacheField>
    <cacheField name="Data valuta" numFmtId="0">
      <sharedItems containsDate="1" containsMixedTypes="1" minDate="2024-11-01T00:00:00" maxDate="2024-11-02T00:00:00"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5000" maxValue="2815.06"/>
    </cacheField>
    <cacheField name="Escluso" numFmtId="4">
      <sharedItems containsBlank="1" count="2">
        <m/>
        <s v="x"/>
      </sharedItems>
    </cacheField>
    <cacheField name="Categoria" numFmtId="0">
      <sharedItems count="11">
        <s v="Mutui e prestiti"/>
        <s v="Bar e ristoranti"/>
        <s v="Trasferimenti"/>
        <s v="Casa e famiglia"/>
        <s v="Viaggi e trasporti"/>
        <s v="Shopping"/>
        <s v="Entrate varie"/>
        <s v="Affitto"/>
        <s v="Tasse, servizi e commissioni"/>
        <s v="Altre spese"/>
        <s v="Lavoro"/>
      </sharedItems>
    </cacheField>
    <cacheField name="Sottocategoria" numFmtId="0">
      <sharedItems count="19">
        <s v="Mutui"/>
        <s v="Pizzerie e Ristoranti"/>
        <s v="Altre carte di credito"/>
        <s v="Animali"/>
        <s v="Arredamento"/>
        <s v="Manutenzione"/>
        <s v="Alimentari"/>
        <s v="Varie"/>
        <s v="Manutenzione e Ristrutturazioni"/>
        <s v="-"/>
        <s v="Abbigliamento"/>
        <s v="Abbonamenti"/>
        <s v="Bollette"/>
        <s v="Bollettini"/>
        <s v="Regali e Donazioni"/>
        <s v="Parcheggi e Biglietti"/>
        <s v="Telepass e Pedaggi"/>
        <s v="Spese condominiali"/>
        <s v="Tasse e Tributi" u="1"/>
      </sharedItems>
    </cacheField>
    <cacheField name="Etichette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Bertaccini" refreshedDate="46053.623881481479" createdVersion="8" refreshedVersion="8" minRefreshableVersion="3" recordCount="89" xr:uid="{E58C24F8-9253-4FF4-A957-DACC2FE6F227}">
  <cacheSource type="worksheet">
    <worksheetSource name="Table11"/>
  </cacheSource>
  <cacheFields count="12">
    <cacheField name="Codice identificativo" numFmtId="0">
      <sharedItems containsBlank="1"/>
    </cacheField>
    <cacheField name="Data operazione" numFmtId="0">
      <sharedItems containsBlank="1"/>
    </cacheField>
    <cacheField name="Data valuta" numFmtId="0">
      <sharedItems containsBlank="1"/>
    </cacheField>
    <cacheField name="Descrizione" numFmtId="0">
      <sharedItems/>
    </cacheField>
    <cacheField name="Divisa" numFmtId="0">
      <sharedItems/>
    </cacheField>
    <cacheField name="Importo" numFmtId="4">
      <sharedItems containsSemiMixedTypes="0" containsString="0" containsNumber="1" minValue="-4000" maxValue="5583.99"/>
    </cacheField>
    <cacheField name="Escludi" numFmtId="4">
      <sharedItems containsBlank="1" count="2">
        <m/>
        <s v="x"/>
      </sharedItems>
    </cacheField>
    <cacheField name="Ferie" numFmtId="4">
      <sharedItems containsBlank="1" count="3">
        <m/>
        <s v="x"/>
        <s v="Altre spese" u="1"/>
      </sharedItems>
    </cacheField>
    <cacheField name="Categoria" numFmtId="0">
      <sharedItems count="15">
        <s v="Salute e benessere"/>
        <s v="Mutui e prestiti"/>
        <s v="Casa e famiglia"/>
        <s v="Shopping"/>
        <s v="Trasferimenti"/>
        <s v="Affitto"/>
        <s v="Rimborsi"/>
        <s v="Viaggi e trasporti"/>
        <s v="Tasse, servizi e commissioni"/>
        <s v="Tempo libero"/>
        <s v="Bar e ristoranti"/>
        <s v="Souvenir"/>
        <s v="Lavoro"/>
        <s v="Finanziamenti e Prestiti" u="1"/>
        <s v="Bagno" u="1"/>
      </sharedItems>
    </cacheField>
    <cacheField name="Sottocategoria" numFmtId="0">
      <sharedItems count="28">
        <s v="Benessere e Relax"/>
        <s v="Mutui"/>
        <s v="Alimentari"/>
        <s v="Abbigliamento"/>
        <s v="Varie"/>
        <s v="Animali"/>
        <s v="Arredamento"/>
        <s v="-"/>
        <s v="Investimenti"/>
        <s v="Carburante"/>
        <s v="Tasse e Tributi"/>
        <s v="Cinema"/>
        <s v="Abbonamenti"/>
        <s v="Farmacia"/>
        <s v="Assicurazioni"/>
        <s v="Pizzerie e Ristoranti"/>
        <s v="Colazione"/>
        <s v="Telepass e Pedaggi"/>
        <s v="Bollette"/>
        <s v="Tempo libero"/>
        <s v="Parcheggi e Biglietti"/>
        <s v="Musei e Parchi"/>
        <s v="Cena"/>
        <s v="Bagno"/>
        <s v="Pranzo"/>
        <s v="Souvenir"/>
        <s v="Benzina" u="1"/>
        <s v="Ordine permanente di addebito" u="1"/>
      </sharedItems>
    </cacheField>
    <cacheField name="Etichette" numFmtId="0">
      <sharedItems containsBlank="1"/>
    </cacheField>
    <cacheField name="Note" numFmtId="4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26001143069828"/>
    <s v="03/01/2026"/>
    <s v="07/01/2026"/>
    <s v="ARCAPLANET RAVENNA"/>
    <s v="EUR"/>
    <n v="-125.2"/>
    <x v="0"/>
    <x v="0"/>
    <x v="0"/>
    <s v="Pagamento POS"/>
    <s v=""/>
  </r>
  <r>
    <s v="26001143108771"/>
    <s v="03/01/2026"/>
    <s v="07/01/2026"/>
    <s v="GLOBO RAVENNA RAVENNA"/>
    <s v="EUR"/>
    <n v="-94.47"/>
    <x v="0"/>
    <x v="1"/>
    <x v="1"/>
    <s v="Pagamento POS"/>
    <s v=""/>
  </r>
  <r>
    <s v="26001140433514"/>
    <s v="03/01/2026"/>
    <s v="31/12/2025"/>
    <s v="C/C D152200534730"/>
    <s v="EUR"/>
    <n v="-8.6199999999999992"/>
    <x v="0"/>
    <x v="2"/>
    <x v="2"/>
    <s v="Imposta di bollo"/>
    <s v=""/>
  </r>
  <r>
    <s v="26001144002194"/>
    <s v="05/01/2026"/>
    <s v="07/01/2026"/>
    <s v="AOSOM ITALY Assago"/>
    <s v="EUR"/>
    <n v="-44.95"/>
    <x v="0"/>
    <x v="0"/>
    <x v="3"/>
    <s v="Pagamenti OnLine"/>
    <s v=""/>
  </r>
  <r>
    <s v="26001143877257"/>
    <s v="05/01/2026"/>
    <s v="07/01/2026"/>
    <s v="SUPERMERCATO CONAD SAN PIETRO IN"/>
    <s v="EUR"/>
    <n v="-26.88"/>
    <x v="0"/>
    <x v="0"/>
    <x v="4"/>
    <s v="Pagamento POS"/>
    <s v=""/>
  </r>
  <r>
    <s v="26001143836770"/>
    <s v="05/01/2026"/>
    <s v="07/01/2026"/>
    <s v="FARMACIA DELLE ERBE RAVENNA"/>
    <s v="EUR"/>
    <n v="-14"/>
    <x v="0"/>
    <x v="3"/>
    <x v="5"/>
    <s v="Pagamento POS"/>
    <s v=""/>
  </r>
  <r>
    <s v="26001142176407"/>
    <s v="05/01/2026"/>
    <s v="05/01/2026"/>
    <s v="affitto Gennaio 26 meno 80 ( caldaia) DA DELL'ORSO CARLA"/>
    <s v="EUR"/>
    <n v="470"/>
    <x v="0"/>
    <x v="4"/>
    <x v="6"/>
    <s v="Bonifico"/>
    <s v=""/>
  </r>
  <r>
    <s v="26001143391373"/>
    <s v="06/01/2026"/>
    <s v="06/01/2026"/>
    <s v="INVEST A SIMONE BERTACCINI"/>
    <s v="EUR"/>
    <n v="-3000"/>
    <x v="1"/>
    <x v="5"/>
    <x v="7"/>
    <s v="Bonifico"/>
    <s v=""/>
  </r>
  <r>
    <s v="26001148179292"/>
    <s v="08/01/2026"/>
    <s v="12/01/2026"/>
    <s v="ESSELUNGA RAVENNA RAVENNA"/>
    <s v="EUR"/>
    <n v="-6.27"/>
    <x v="0"/>
    <x v="0"/>
    <x v="4"/>
    <s v="Pagamento POS"/>
    <s v=""/>
  </r>
  <r>
    <s v="26001145722710"/>
    <s v="08/01/2026"/>
    <s v="31/12/2025"/>
    <s v="CANONE DEL CONTO"/>
    <s v="EUR"/>
    <n v="-4.5"/>
    <x v="0"/>
    <x v="2"/>
    <x v="8"/>
    <s v="Canone"/>
    <s v=""/>
  </r>
  <r>
    <s v="26001148602741"/>
    <s v="10/01/2026"/>
    <s v="12/01/2026"/>
    <s v="NETFLIX.COM Milan"/>
    <s v="EUR"/>
    <n v="-18.98"/>
    <x v="0"/>
    <x v="0"/>
    <x v="9"/>
    <s v="Pagamenti OnLine"/>
    <s v=""/>
  </r>
  <r>
    <s v="26001151947321"/>
    <s v="12/01/2026"/>
    <s v="14/01/2026"/>
    <s v="LIDL 357 RAVENNA"/>
    <s v="EUR"/>
    <n v="-57.15"/>
    <x v="0"/>
    <x v="0"/>
    <x v="4"/>
    <s v="Pagamento POS"/>
    <s v=""/>
  </r>
  <r>
    <s v="26001151810942"/>
    <s v="12/01/2026"/>
    <s v="14/01/2026"/>
    <s v="SHEIN Dublin"/>
    <s v="EUR"/>
    <n v="-54.69"/>
    <x v="0"/>
    <x v="1"/>
    <x v="10"/>
    <s v="Pagamenti OnLine"/>
    <s v=""/>
  </r>
  <r>
    <s v="26001151898240"/>
    <s v="12/01/2026"/>
    <s v="14/01/2026"/>
    <s v="CASSA AUTOMATICA SPIK RAVENNA"/>
    <s v="EUR"/>
    <n v="-0.4"/>
    <x v="0"/>
    <x v="6"/>
    <x v="11"/>
    <s v="Pagamento POS"/>
    <s v=""/>
  </r>
  <r>
    <s v="26001150126794"/>
    <s v="13/01/2026"/>
    <s v="13/01/2026"/>
    <s v="Satispay Europe S.A. Ricarica dell'app Satispay"/>
    <s v="EUR"/>
    <n v="-41.25"/>
    <x v="0"/>
    <x v="7"/>
    <x v="12"/>
    <s v="Ordine permanente di addebito"/>
    <s v=""/>
  </r>
  <r>
    <s v="26001154030907"/>
    <s v="14/01/2026"/>
    <s v="16/01/2026"/>
    <s v="ARCAPLANET RAVENNA"/>
    <s v="EUR"/>
    <n v="-114.9"/>
    <x v="0"/>
    <x v="0"/>
    <x v="0"/>
    <s v="Pagamento POS"/>
    <s v=""/>
  </r>
  <r>
    <s v="26001154045241"/>
    <s v="14/01/2026"/>
    <s v="16/01/2026"/>
    <s v="FARMACIA DELLE ERBE RAVENNA"/>
    <s v="EUR"/>
    <n v="-76.8"/>
    <x v="0"/>
    <x v="3"/>
    <x v="5"/>
    <s v="Pagamento POS"/>
    <s v=""/>
  </r>
  <r>
    <s v="26001153910131"/>
    <s v="14/01/2026"/>
    <s v="16/01/2026"/>
    <s v="TERRANOVA RAVENNA"/>
    <s v="EUR"/>
    <n v="-36.15"/>
    <x v="0"/>
    <x v="1"/>
    <x v="10"/>
    <s v="Pagamento POS"/>
    <s v=""/>
  </r>
  <r>
    <s v="26001153867599"/>
    <s v="14/01/2026"/>
    <s v="16/01/2026"/>
    <s v="PASTICCERIA LE PLAISIR RAVENNA"/>
    <s v="EUR"/>
    <n v="-4.8"/>
    <x v="0"/>
    <x v="7"/>
    <x v="12"/>
    <s v="Pagamento POS"/>
    <s v=""/>
  </r>
  <r>
    <s v="26001158319550"/>
    <s v="19/01/2026"/>
    <s v="21/01/2026"/>
    <s v="ESSELUNGA RAVENNA RAVENNA"/>
    <s v="EUR"/>
    <n v="-1.3"/>
    <x v="0"/>
    <x v="0"/>
    <x v="4"/>
    <s v="Pagamento POS"/>
    <s v=""/>
  </r>
  <r>
    <s v="26001157368650"/>
    <s v="20/01/2026"/>
    <s v="20/01/2026"/>
    <s v="REGALO NASCITA MICHELE DA INVESTIRE IN ETC SU CATENINE DORO : A BERTACCINI MATTEO"/>
    <s v="EUR"/>
    <n v="-500"/>
    <x v="0"/>
    <x v="5"/>
    <x v="13"/>
    <s v="Bonifico"/>
    <s v=""/>
  </r>
  <r>
    <s v="26001156540762"/>
    <s v="20/01/2026"/>
    <s v="20/01/2026"/>
    <s v="Ric 10163 scad 20 01 2026, es IMPIANTO CITOFONICO Rata n 3 - Impianto citofonico ui A10"/>
    <s v="EUR"/>
    <n v="-92"/>
    <x v="0"/>
    <x v="5"/>
    <x v="14"/>
    <s v="MAV"/>
    <s v=""/>
  </r>
  <r>
    <s v="26001159301851"/>
    <s v="20/01/2026"/>
    <s v="22/01/2026"/>
    <s v="FARMACIA SAN PANCRAZIO RUSSI"/>
    <s v="EUR"/>
    <n v="-37.5"/>
    <x v="0"/>
    <x v="3"/>
    <x v="5"/>
    <s v="Pagamento POS"/>
    <s v=""/>
  </r>
  <r>
    <s v="26001160178664"/>
    <s v="21/01/2026"/>
    <s v="23/01/2026"/>
    <s v="ESSELUNGA RAVENNA RAVENNA"/>
    <s v="EUR"/>
    <n v="-65.08"/>
    <x v="0"/>
    <x v="0"/>
    <x v="4"/>
    <s v="Pagamento POS"/>
    <s v=""/>
  </r>
  <r>
    <s v="26001160058402"/>
    <s v="21/01/2026"/>
    <s v="23/01/2026"/>
    <s v="HAPPY CASA STORE RAVENNA"/>
    <s v="EUR"/>
    <n v="-27.77"/>
    <x v="0"/>
    <x v="0"/>
    <x v="3"/>
    <s v="Pagamento POS"/>
    <s v=""/>
  </r>
  <r>
    <s v="26001160252364"/>
    <s v="21/01/2026"/>
    <s v="23/01/2026"/>
    <s v="TRATTORIA CASTEL DELL' NAPOLI"/>
    <s v="EUR"/>
    <n v="-20"/>
    <x v="0"/>
    <x v="7"/>
    <x v="12"/>
    <s v="Pagamento POS"/>
    <s v=""/>
  </r>
  <r>
    <s v="26001160376348"/>
    <s v="21/01/2026"/>
    <s v="23/01/2026"/>
    <s v="RISPARMIO CASA RAVENNA RAVENNA"/>
    <s v="EUR"/>
    <n v="-18.12"/>
    <x v="0"/>
    <x v="0"/>
    <x v="7"/>
    <s v="Pagamento POS"/>
    <s v=""/>
  </r>
  <r>
    <s v="26001163466630"/>
    <s v="24/01/2026"/>
    <s v="27/01/2026"/>
    <s v="ESSELUNGA RAVENNA RAVENNA"/>
    <s v="EUR"/>
    <n v="-5.16"/>
    <x v="0"/>
    <x v="0"/>
    <x v="4"/>
    <s v="Pagamento POS"/>
    <s v=""/>
  </r>
  <r>
    <s v="26001162900542"/>
    <s v="27/01/2026"/>
    <s v="27/01/2026"/>
    <s v="Satispay Europe S.A. Ricarica dell'app Satispay"/>
    <s v="EUR"/>
    <n v="-50.4"/>
    <x v="0"/>
    <x v="8"/>
    <x v="7"/>
    <s v="Ordine permanente di addebito"/>
    <s v=""/>
  </r>
  <r>
    <s v="26001163314636"/>
    <s v="27/01/2026"/>
    <s v="27/01/2026"/>
    <s v="/FOR/BERTACCINI SIMONE RAVENNA/INV/SALA DA MICROSOFT SRL"/>
    <s v="EUR"/>
    <n v="3326.29"/>
    <x v="0"/>
    <x v="9"/>
    <x v="6"/>
    <s v="Bonifico"/>
    <s v=""/>
  </r>
  <r>
    <m/>
    <s v="27/01/2026"/>
    <s v="27/01/2026"/>
    <s v="BANCO BPM S.P.A. PAGAMENTO FINANZIAMENTO 01099/05633174 BANCA 05034 C/O BPVN PER RATA SCADENTE IL 31/10/2025"/>
    <s v="EUR"/>
    <n v="-881.2"/>
    <x v="0"/>
    <x v="10"/>
    <x v="15"/>
    <m/>
    <m/>
  </r>
  <r>
    <s v="1479749925"/>
    <s v="30/01/2026"/>
    <d v="2026-01-31T00:00:00"/>
    <s v="UFFICIO DECENTRATO RON RAVENNA"/>
    <s v="EUR"/>
    <n v="-22"/>
    <x v="0"/>
    <x v="2"/>
    <x v="2"/>
    <s v="Pagamento POS"/>
    <s v=""/>
  </r>
  <r>
    <s v="1480052657"/>
    <s v="30/01/2026"/>
    <d v="2026-01-31T00:00:00"/>
    <s v="TGTG pnbv4kf7pbeq0 Copenhagen"/>
    <s v="EUR"/>
    <n v="-2.99"/>
    <x v="0"/>
    <x v="7"/>
    <x v="12"/>
    <s v="Pagamenti OnLine"/>
    <s v=""/>
  </r>
  <r>
    <s v="26001166701856"/>
    <s v="30/01/2026"/>
    <s v="30/01/2026"/>
    <s v="STIPENDI DA Esselunga S.p.A."/>
    <s v="EUR"/>
    <n v="1547.65"/>
    <x v="0"/>
    <x v="9"/>
    <x v="6"/>
    <s v="Bonifico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25000943537122"/>
    <s v="24/06/2025"/>
    <s v="24/06/2025"/>
    <s v="INVESTIMENTO PRIVATE MARKET A SIMONE BERTACCINI"/>
    <s v="EUR"/>
    <n v="-10000"/>
    <x v="0"/>
    <x v="0"/>
    <x v="0"/>
    <s v="Bonifico"/>
    <s v=""/>
  </r>
  <r>
    <s v="25000921126704"/>
    <s v="04/06/2025"/>
    <s v="04/06/2025"/>
    <s v="American Express Services Europe LTD 61005 Carta Corporate"/>
    <s v="EUR"/>
    <n v="-905.16"/>
    <x v="0"/>
    <x v="1"/>
    <x v="0"/>
    <s v="Ordine permanente di addebito"/>
    <s v=""/>
  </r>
  <r>
    <s v="25000948375493"/>
    <s v="30/06/2025"/>
    <s v="30/06/2025"/>
    <s v="BANCO BPM S.P.A. PAGAMENTO FINANZIAMENTO 01099/05633174 BANCA 05034 C/O BPVN PER RATA SCADENTE IL 30/06/2025"/>
    <s v="EUR"/>
    <n v="-881.2"/>
    <x v="1"/>
    <x v="2"/>
    <x v="1"/>
    <s v="Ordine permanente di addebito"/>
    <s v=""/>
  </r>
  <r>
    <s v="25000934389649"/>
    <s v="11/06/2025"/>
    <s v="16/06/2025"/>
    <s v="CASSA RISP DI RAVENNA SAN PANCRAZIO"/>
    <s v="EUR"/>
    <n v="-250"/>
    <x v="2"/>
    <x v="3"/>
    <x v="1"/>
    <s v="Prelievo Sportello Self"/>
    <s v=""/>
  </r>
  <r>
    <s v="25000924531889"/>
    <s v="05/06/2025"/>
    <s v="05/06/2025"/>
    <s v="SPESE CONDOMINIALI - SALDO ESERC 2024 QUOTA DI COMPETENZA PASTORELLI CHIARA A CONDOMINIO MOZART 11 13 A"/>
    <s v="EUR"/>
    <n v="-221.2"/>
    <x v="3"/>
    <x v="4"/>
    <x v="1"/>
    <s v="Bonifico"/>
    <s v=""/>
  </r>
  <r>
    <s v="25000944598430"/>
    <s v="25/06/2025"/>
    <s v="25/06/2025"/>
    <s v="POS 1106 ARCAPLANET"/>
    <s v="EUR"/>
    <n v="-148.15"/>
    <x v="2"/>
    <x v="5"/>
    <x v="1"/>
    <s v="Pagamento POS"/>
    <s v=""/>
  </r>
  <r>
    <s v="25000936348186"/>
    <s v="17/06/2025"/>
    <s v="17/06/2025"/>
    <s v="Engie Italia S.p.A. Bolletta n. MM.2025.1922962.0"/>
    <s v="EUR"/>
    <n v="-83.37"/>
    <x v="3"/>
    <x v="6"/>
    <x v="1"/>
    <s v="Ordine permanente di addebito"/>
    <s v=""/>
  </r>
  <r>
    <s v="25000944455038"/>
    <s v="23/06/2025"/>
    <s v="25/06/2025"/>
    <s v="ARCAPLANET VIA FAENTI. RAVENNA"/>
    <s v="EUR"/>
    <n v="-80.650000000000006"/>
    <x v="3"/>
    <x v="5"/>
    <x v="1"/>
    <s v="Pagamento POS"/>
    <s v=""/>
  </r>
  <r>
    <s v="25000945621616"/>
    <s v="26/06/2025"/>
    <s v="26/06/2025"/>
    <s v="Pagamento pagoPA effettuato con successo"/>
    <s v="EUR"/>
    <n v="-55.2"/>
    <x v="4"/>
    <x v="7"/>
    <x v="1"/>
    <s v="PagoPA"/>
    <s v=""/>
  </r>
  <r>
    <s v="25000940800523"/>
    <s v="17/06/2025"/>
    <s v="23/06/2025"/>
    <s v="AMZN Mktp IT 800-279-6620"/>
    <s v="EUR"/>
    <n v="-49.97"/>
    <x v="5"/>
    <x v="8"/>
    <x v="1"/>
    <s v="Pagamenti OnLine"/>
    <s v=""/>
  </r>
  <r>
    <s v="25000928497280"/>
    <s v="07/06/2025"/>
    <s v="09/06/2025"/>
    <s v="LUCY NUMANA"/>
    <s v="EUR"/>
    <n v="-49.5"/>
    <x v="6"/>
    <x v="9"/>
    <x v="1"/>
    <s v="Pagamento POS"/>
    <s v=""/>
  </r>
  <r>
    <s v="25000929570861"/>
    <s v="08/06/2025"/>
    <s v="10/06/2025"/>
    <s v="CASA LEOPARDI SRL RECANATI"/>
    <s v="EUR"/>
    <n v="-40"/>
    <x v="5"/>
    <x v="8"/>
    <x v="1"/>
    <s v="Pagamento POS"/>
    <s v=""/>
  </r>
  <r>
    <s v="25000922917455"/>
    <s v="01/06/2025"/>
    <s v="04/06/2025"/>
    <s v="ESSELUNGA RAVENNA RAVENNA"/>
    <s v="EUR"/>
    <n v="-39.06"/>
    <x v="3"/>
    <x v="10"/>
    <x v="1"/>
    <s v="Pagamento POS"/>
    <s v=""/>
  </r>
  <r>
    <s v="25000945366046"/>
    <s v="24/06/2025"/>
    <s v="26/06/2025"/>
    <s v="FARMACIA SAN PANCRAZIO RUSSI"/>
    <s v="EUR"/>
    <n v="-37.5"/>
    <x v="7"/>
    <x v="11"/>
    <x v="1"/>
    <s v="Pagamento POS"/>
    <s v=""/>
  </r>
  <r>
    <s v="25000927852602"/>
    <s v="06/06/2025"/>
    <s v="09/06/2025"/>
    <s v="RICCI FERNANDO NUMANA"/>
    <s v="EUR"/>
    <n v="-31.77"/>
    <x v="6"/>
    <x v="9"/>
    <x v="1"/>
    <s v="Pagamento POS"/>
    <s v=""/>
  </r>
  <r>
    <s v="25000929430438"/>
    <s v="08/06/2025"/>
    <s v="10/06/2025"/>
    <s v="PAN DE AJO BRUSCHETTER RAVENNA"/>
    <s v="EUR"/>
    <n v="-30.5"/>
    <x v="6"/>
    <x v="9"/>
    <x v="1"/>
    <s v="Pagamento POS"/>
    <s v=""/>
  </r>
  <r>
    <s v="25000936267578"/>
    <s v="17/06/2025"/>
    <s v="17/06/2025"/>
    <s v="Satispay Europe S.A. Ricarica dell'app Satispay"/>
    <s v="EUR"/>
    <n v="-30"/>
    <x v="0"/>
    <x v="8"/>
    <x v="1"/>
    <s v="Ordine permanente di addebito"/>
    <s v=""/>
  </r>
  <r>
    <s v="25000927572064"/>
    <s v="06/06/2025"/>
    <s v="09/06/2025"/>
    <s v="CONERO AZZURRO NUMANA"/>
    <s v="EUR"/>
    <n v="-28"/>
    <x v="8"/>
    <x v="12"/>
    <x v="1"/>
    <s v="Pagamento POS"/>
    <s v=""/>
  </r>
  <r>
    <s v="25000941253057"/>
    <s v="20/06/2025"/>
    <s v="23/06/2025"/>
    <s v="ARTEDILE SRLS COLONNIN RUSSI"/>
    <s v="EUR"/>
    <n v="-25.52"/>
    <x v="8"/>
    <x v="13"/>
    <x v="1"/>
    <s v="Pagamento POS"/>
    <s v=""/>
  </r>
  <r>
    <s v="25000934929833"/>
    <s v="13/06/2025"/>
    <s v="16/06/2025"/>
    <s v="BRICOMAN ITALIA RAVENNA"/>
    <s v="EUR"/>
    <n v="-24.5"/>
    <x v="3"/>
    <x v="14"/>
    <x v="1"/>
    <s v="Pagamento POS"/>
    <s v=""/>
  </r>
  <r>
    <s v="25000929589920"/>
    <s v="08/06/2025"/>
    <s v="10/06/2025"/>
    <s v="GRADARA INNOVA GRADARA"/>
    <s v="EUR"/>
    <n v="-24"/>
    <x v="9"/>
    <x v="15"/>
    <x v="1"/>
    <s v="Pagamento POS"/>
    <s v=""/>
  </r>
  <r>
    <s v="25000926535317"/>
    <s v="04/06/2025"/>
    <s v="06/06/2025"/>
    <s v="SPESA INTELLIGENTE SPA RAVENNA"/>
    <s v="EUR"/>
    <n v="-22.94"/>
    <x v="3"/>
    <x v="10"/>
    <x v="1"/>
    <s v="Pagamento POS"/>
    <s v=""/>
  </r>
  <r>
    <s v="25000932086346"/>
    <s v="10/06/2025"/>
    <s v="12/06/2025"/>
    <s v="FUSINI SNC BAGNACAVALLO"/>
    <s v="EUR"/>
    <n v="-21"/>
    <x v="3"/>
    <x v="10"/>
    <x v="1"/>
    <s v="Pagamento POS"/>
    <s v=""/>
  </r>
  <r>
    <s v="25000929183440"/>
    <s v="10/06/2025"/>
    <s v="10/06/2025"/>
    <s v="Satispay Europe S.A. Ricarica dell'app Satispay"/>
    <s v="EUR"/>
    <n v="-19.899999999999999"/>
    <x v="0"/>
    <x v="8"/>
    <x v="1"/>
    <s v="Ordine permanente di addebito"/>
    <s v=""/>
  </r>
  <r>
    <s v="25000931101368"/>
    <s v="09/06/2025"/>
    <s v="11/06/2025"/>
    <s v="NETFLIX.COM 18665797172"/>
    <s v="EUR"/>
    <n v="-18.98"/>
    <x v="3"/>
    <x v="16"/>
    <x v="1"/>
    <s v="Pagamenti OnLine"/>
    <s v=""/>
  </r>
  <r>
    <s v="25000928571058"/>
    <s v="07/06/2025"/>
    <s v="09/06/2025"/>
    <s v="GELATERIA DEL CONERO SIROLO"/>
    <s v="EUR"/>
    <n v="-16.5"/>
    <x v="6"/>
    <x v="17"/>
    <x v="1"/>
    <s v="Pagamento POS"/>
    <s v=""/>
  </r>
  <r>
    <s v="25000937968464"/>
    <s v="16/06/2025"/>
    <s v="18/06/2025"/>
    <s v="SUPERMERCATO CONAD SAN PIETRO IN"/>
    <s v="EUR"/>
    <n v="-16.03"/>
    <x v="3"/>
    <x v="10"/>
    <x v="1"/>
    <s v="Pagamento POS"/>
    <s v=""/>
  </r>
  <r>
    <s v="25000934582511"/>
    <s v="13/06/2025"/>
    <s v="16/06/2025"/>
    <s v="DISPENSA EMILIA-VAIMO. RAVENNA"/>
    <s v="EUR"/>
    <n v="-15.9"/>
    <x v="6"/>
    <x v="9"/>
    <x v="1"/>
    <s v="Pagamento POS"/>
    <s v=""/>
  </r>
  <r>
    <s v="25000920561066"/>
    <s v="01/06/2025"/>
    <s v="03/06/2025"/>
    <s v="SPIAGGIA SAN FRANCISCO RAVENNA"/>
    <s v="EUR"/>
    <n v="-14.5"/>
    <x v="9"/>
    <x v="8"/>
    <x v="1"/>
    <s v="Pagamento POS"/>
    <s v=""/>
  </r>
  <r>
    <s v="25000928617278"/>
    <s v="07/06/2025"/>
    <s v="09/06/2025"/>
    <s v="NUMANA-FIOR DI GRANO NUMANA"/>
    <s v="EUR"/>
    <n v="-14.3"/>
    <x v="3"/>
    <x v="10"/>
    <x v="1"/>
    <s v="Pagamento POS"/>
    <s v=""/>
  </r>
  <r>
    <s v="25000934956651"/>
    <s v="13/06/2025"/>
    <s v="16/06/2025"/>
    <s v="LIDL 357 RAVENNA"/>
    <s v="EUR"/>
    <n v="-13.02"/>
    <x v="3"/>
    <x v="10"/>
    <x v="1"/>
    <s v="Pagamento POS"/>
    <s v=""/>
  </r>
  <r>
    <s v="25000927550051"/>
    <s v="06/06/2025"/>
    <s v="09/06/2025"/>
    <s v="ASPITLORETO LORETO"/>
    <s v="EUR"/>
    <n v="-12.7"/>
    <x v="8"/>
    <x v="18"/>
    <x v="1"/>
    <s v="Pagamento POS"/>
    <s v=""/>
  </r>
  <r>
    <s v="25000947250120"/>
    <s v="26/06/2025"/>
    <s v="30/06/2025"/>
    <s v="SUPERMERCATO CONAD SAN PIETRO IN"/>
    <s v="EUR"/>
    <n v="-12.26"/>
    <x v="3"/>
    <x v="10"/>
    <x v="1"/>
    <s v="Pagamento POS"/>
    <s v=""/>
  </r>
  <r>
    <s v="25000934932437"/>
    <s v="13/06/2025"/>
    <s v="16/06/2025"/>
    <s v="048 OBI RAVENNA"/>
    <s v="EUR"/>
    <n v="-9.9499999999999993"/>
    <x v="3"/>
    <x v="8"/>
    <x v="1"/>
    <s v="Pagamento POS"/>
    <s v=""/>
  </r>
  <r>
    <s v="25000927036841"/>
    <s v="05/06/2025"/>
    <s v="09/06/2025"/>
    <s v="SUPERMERCATO CONAD XX1 RUSSI"/>
    <s v="EUR"/>
    <n v="-9.06"/>
    <x v="3"/>
    <x v="10"/>
    <x v="1"/>
    <s v="Pagamento POS"/>
    <s v=""/>
  </r>
  <r>
    <s v="25000920443002"/>
    <s v="03/06/2025"/>
    <s v="03/06/2025"/>
    <s v="Satispay Europe S.A. Ricarica dell'app Satispay"/>
    <s v="EUR"/>
    <n v="-8.5"/>
    <x v="0"/>
    <x v="8"/>
    <x v="1"/>
    <s v="Ordine permanente di addebito"/>
    <s v=""/>
  </r>
  <r>
    <s v="25000928606760"/>
    <s v="07/06/2025"/>
    <s v="09/06/2025"/>
    <s v="FARMASALUTE SRLS NUMANA"/>
    <s v="EUR"/>
    <n v="-7.3"/>
    <x v="7"/>
    <x v="11"/>
    <x v="1"/>
    <s v="Pagamento POS"/>
    <s v=""/>
  </r>
  <r>
    <s v="25000941276569"/>
    <s v="20/06/2025"/>
    <s v="23/06/2025"/>
    <s v="IL GELATO RAVENNA"/>
    <s v="EUR"/>
    <n v="-7"/>
    <x v="6"/>
    <x v="9"/>
    <x v="1"/>
    <s v="Pagamento POS"/>
    <s v=""/>
  </r>
  <r>
    <s v="25000929719716"/>
    <s v="08/06/2025"/>
    <s v="10/06/2025"/>
    <s v="ASPITPESARO URBINO PESARO URBINO"/>
    <s v="EUR"/>
    <n v="-7"/>
    <x v="8"/>
    <x v="18"/>
    <x v="1"/>
    <s v="Pagamento POS"/>
    <s v=""/>
  </r>
  <r>
    <s v="25000939974859"/>
    <s v="18/06/2025"/>
    <s v="20/06/2025"/>
    <s v="ALDI S.R.L. RAVENNA RA"/>
    <s v="EUR"/>
    <n v="-5.57"/>
    <x v="3"/>
    <x v="10"/>
    <x v="1"/>
    <s v="Pagamento POS"/>
    <s v=""/>
  </r>
  <r>
    <s v="25000948868612"/>
    <s v="28/06/2025"/>
    <s v="30/06/2025"/>
    <s v="ASPITORTE ORTE"/>
    <s v="EUR"/>
    <n v="-4.8"/>
    <x v="8"/>
    <x v="18"/>
    <x v="1"/>
    <s v="Pagamento POS"/>
    <s v=""/>
  </r>
  <r>
    <s v="25000947655063"/>
    <s v="27/06/2025"/>
    <s v="30/06/2025"/>
    <s v="ASPITRoma Nord Roma"/>
    <s v="EUR"/>
    <n v="-4.8"/>
    <x v="8"/>
    <x v="18"/>
    <x v="1"/>
    <s v="Pagamento POS"/>
    <s v=""/>
  </r>
  <r>
    <s v="25000941149663"/>
    <s v="20/06/2025"/>
    <s v="23/06/2025"/>
    <s v="ASPITORTE ORTE"/>
    <s v="EUR"/>
    <n v="-4.8"/>
    <x v="8"/>
    <x v="18"/>
    <x v="1"/>
    <s v="Pagamento POS"/>
    <s v=""/>
  </r>
  <r>
    <s v="25000940764070"/>
    <s v="19/06/2025"/>
    <s v="23/06/2025"/>
    <s v="ASPITRoma Nord Roma"/>
    <s v="EUR"/>
    <n v="-4.8"/>
    <x v="8"/>
    <x v="18"/>
    <x v="1"/>
    <s v="Pagamento POS"/>
    <s v=""/>
  </r>
  <r>
    <s v="25000929744043"/>
    <s v="08/06/2025"/>
    <s v="10/06/2025"/>
    <s v="ASPITFORLI' FORLI'"/>
    <s v="EUR"/>
    <n v="-4.8"/>
    <x v="8"/>
    <x v="18"/>
    <x v="1"/>
    <s v="Pagamento POS"/>
    <s v=""/>
  </r>
  <r>
    <s v="25000934971300"/>
    <s v="13/06/2025"/>
    <s v="16/06/2025"/>
    <s v="KIABI RAVENNA"/>
    <s v="EUR"/>
    <n v="-4"/>
    <x v="5"/>
    <x v="19"/>
    <x v="1"/>
    <s v="Pagamento POS"/>
    <s v=""/>
  </r>
  <r>
    <s v="25000945097713"/>
    <s v="26/06/2025"/>
    <s v="26/06/2025"/>
    <s v="POS 2406 AMZN Mktp IT"/>
    <s v="EUR"/>
    <n v="16.989999999999998"/>
    <x v="10"/>
    <x v="20"/>
    <x v="1"/>
    <s v="Storno"/>
    <s v=""/>
  </r>
  <r>
    <s v="25000935583555"/>
    <s v="16/06/2025"/>
    <s v="16/06/2025"/>
    <s v="TC 1000742075 TL 250247535 DdR DW29-25-1173048 20250531 DA INTESA SANPAOLO PROTEZIONE S P A"/>
    <s v="EUR"/>
    <n v="56"/>
    <x v="11"/>
    <x v="20"/>
    <x v="1"/>
    <s v="Bonifico"/>
    <s v=""/>
  </r>
  <r>
    <s v="25000942074525"/>
    <s v="23/06/2025"/>
    <s v="23/06/2025"/>
    <s v="FT: 202523632625S 202524819546S DA GESTORE DEI SERVIZI ENERGETICI - GS"/>
    <s v="EUR"/>
    <n v="157.65"/>
    <x v="11"/>
    <x v="20"/>
    <x v="1"/>
    <s v="Bonifico"/>
    <s v=""/>
  </r>
  <r>
    <s v="25000942245067"/>
    <s v="23/06/2025"/>
    <s v="23/06/2025"/>
    <s v="FT: 202522848394S 202523829636S 202523829635S DA GESTORE DEI SERVIZI ENERGETICI - GS"/>
    <s v="EUR"/>
    <n v="443.66"/>
    <x v="11"/>
    <x v="20"/>
    <x v="1"/>
    <s v="Bonifico"/>
    <s v=""/>
  </r>
  <r>
    <s v="25000948698988"/>
    <s v="30/06/2025"/>
    <s v="30/06/2025"/>
    <s v="FT: 202551193269 DA GESTORE DEI SERVIZI ENERGETICI - GS"/>
    <s v="EUR"/>
    <n v="447.54"/>
    <x v="11"/>
    <x v="20"/>
    <x v="1"/>
    <s v="Bonifico"/>
    <s v=""/>
  </r>
  <r>
    <s v="25000922918708"/>
    <s v="04/06/2025"/>
    <s v="04/06/2025"/>
    <s v="affitto Giugno 2025 DA DELL'ORSO CARLA"/>
    <s v="EUR"/>
    <n v="550"/>
    <x v="12"/>
    <x v="20"/>
    <x v="1"/>
    <s v="Bonifico istantaneo"/>
    <s v=""/>
  </r>
  <r>
    <s v="25000933525475"/>
    <s v="13/06/2025"/>
    <s v="13/06/2025"/>
    <s v="ACCONTO 14MA DA Esselunga S.p.A."/>
    <s v="EUR"/>
    <n v="677.22"/>
    <x v="13"/>
    <x v="20"/>
    <x v="1"/>
    <s v="Bonifico"/>
    <s v=""/>
  </r>
  <r>
    <s v="25000948639466"/>
    <s v="30/06/2025"/>
    <s v="30/06/2025"/>
    <s v="STIPENDI DA Esselunga S.p.A."/>
    <s v="EUR"/>
    <n v="1058.42"/>
    <x v="13"/>
    <x v="20"/>
    <x v="1"/>
    <s v="Bonifico"/>
    <s v=""/>
  </r>
  <r>
    <s v="25000946196728"/>
    <s v="27/06/2025"/>
    <s v="27/06/2025"/>
    <s v="/FOR/BERTACCINI SIMONE RAVENNA/INV/SALA DA MICROSOFT SRL"/>
    <s v="EUR"/>
    <n v="2333.58"/>
    <x v="13"/>
    <x v="20"/>
    <x v="1"/>
    <s v="Bonifico"/>
    <s v=""/>
  </r>
  <r>
    <s v="25000933311427"/>
    <s v="13/06/2025"/>
    <s v="13/06/2025"/>
    <s v="/FOR/BERTACCINI SIMONE RAVENNA/INV/SALA DA MICROSOFT SRL"/>
    <s v="EUR"/>
    <n v="3827.91"/>
    <x v="13"/>
    <x v="20"/>
    <x v="1"/>
    <s v="Bonifico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25000949851329"/>
    <s v="01/07/2025"/>
    <s v="01/07/2025"/>
    <s v="Satispay Europe S.A. Ricarica dell'app Satispay"/>
    <s v="EUR"/>
    <n v="-48.5"/>
    <x v="0"/>
    <x v="0"/>
    <x v="0"/>
    <s v="Ordine permanente di addebito"/>
    <s v=""/>
  </r>
  <r>
    <s v="25000953425751"/>
    <s v="01/07/2025"/>
    <s v="03/07/2025"/>
    <s v="MAGIC GROUP SRL IMOLA"/>
    <s v="EUR"/>
    <n v="-31.7"/>
    <x v="0"/>
    <x v="1"/>
    <x v="1"/>
    <s v="Pagamento POS"/>
    <s v=""/>
  </r>
  <r>
    <s v="25000952189338"/>
    <s v="02/07/2025"/>
    <s v="30/06/2025"/>
    <s v="C/C D152200534730"/>
    <s v="EUR"/>
    <n v="-8.5299999999999994"/>
    <x v="0"/>
    <x v="2"/>
    <x v="2"/>
    <s v="Imposta di bollo"/>
    <s v=""/>
  </r>
  <r>
    <s v="25000952775616"/>
    <s v="03/07/2025"/>
    <s v="03/07/2025"/>
    <s v="Satispay Europe S.A. Ricarica dell'app Satispay"/>
    <s v="EUR"/>
    <n v="-3"/>
    <x v="0"/>
    <x v="0"/>
    <x v="0"/>
    <s v="Ordine permanente di addebito"/>
    <s v=""/>
  </r>
  <r>
    <s v="25000956529289"/>
    <s v="04/07/2025"/>
    <s v="07/07/2025"/>
    <s v="ARCAPLANET VIA FAENTI. RAVENNA"/>
    <s v="EUR"/>
    <n v="-152.85"/>
    <x v="0"/>
    <x v="3"/>
    <x v="3"/>
    <s v="Pagamento POS"/>
    <s v=""/>
  </r>
  <r>
    <s v="25000956035219"/>
    <s v="04/07/2025"/>
    <s v="07/07/2025"/>
    <s v="FAMILA RAVENNA"/>
    <s v="EUR"/>
    <n v="-36.86"/>
    <x v="0"/>
    <x v="3"/>
    <x v="4"/>
    <s v="Pagamento POS"/>
    <s v=""/>
  </r>
  <r>
    <s v="25000956347555"/>
    <s v="04/07/2025"/>
    <s v="07/07/2025"/>
    <s v="BRECCIA'S ON THE ROAD VERGHERETO"/>
    <s v="EUR"/>
    <n v="-24.5"/>
    <x v="0"/>
    <x v="1"/>
    <x v="1"/>
    <s v="Pagamento POS"/>
    <s v=""/>
  </r>
  <r>
    <s v="25000955033102"/>
    <s v="04/07/2025"/>
    <s v="30/06/2025"/>
    <s v="CANONE DEL CONTO"/>
    <s v="EUR"/>
    <n v="-4.5"/>
    <x v="0"/>
    <x v="2"/>
    <x v="5"/>
    <s v="Canone"/>
    <s v=""/>
  </r>
  <r>
    <s v="25000958665558"/>
    <s v="05/07/2025"/>
    <s v="08/07/2025"/>
    <s v="ESSELUNGA RAVENNA RAVENNA"/>
    <s v="EUR"/>
    <n v="-8.75"/>
    <x v="0"/>
    <x v="3"/>
    <x v="4"/>
    <s v="Pagamento POS"/>
    <s v=""/>
  </r>
  <r>
    <s v="25000958621887"/>
    <s v="06/07/2025"/>
    <s v="08/07/2025"/>
    <s v="SUPERMERCATO IPERMERCA RAVENNA"/>
    <s v="EUR"/>
    <n v="-20.95"/>
    <x v="0"/>
    <x v="3"/>
    <x v="4"/>
    <s v="Pagamento POS"/>
    <s v=""/>
  </r>
  <r>
    <s v="25000958612896"/>
    <s v="06/07/2025"/>
    <s v="08/07/2025"/>
    <s v="SUPERMERCATO IPERMERCA RAVENNA"/>
    <s v="EUR"/>
    <n v="-0.9"/>
    <x v="0"/>
    <x v="3"/>
    <x v="4"/>
    <s v="Pagamento POS"/>
    <s v=""/>
  </r>
  <r>
    <s v="25000957935977"/>
    <s v="08/07/2025"/>
    <s v="08/07/2025"/>
    <s v="Satispay Europe S.A. Ricarica dell'app Satispay"/>
    <s v="EUR"/>
    <n v="-75"/>
    <x v="0"/>
    <x v="0"/>
    <x v="0"/>
    <s v="Ordine permanente di addebito"/>
    <s v=""/>
  </r>
  <r>
    <s v="25000958474424"/>
    <s v="08/07/2025"/>
    <s v="08/07/2025"/>
    <s v="affitto Luglio 2025 DA DELL'ORSO CARLA"/>
    <s v="EUR"/>
    <n v="550"/>
    <x v="0"/>
    <x v="4"/>
    <x v="6"/>
    <s v="Bonifico"/>
    <s v=""/>
  </r>
  <r>
    <s v="25000962552853"/>
    <s v="09/07/2025"/>
    <s v="11/07/2025"/>
    <s v="PRO LOCO SAVIO CERVIA"/>
    <s v="EUR"/>
    <n v="-32.5"/>
    <x v="0"/>
    <x v="1"/>
    <x v="1"/>
    <s v="Pagamento POS"/>
    <s v=""/>
  </r>
  <r>
    <s v="25000959556923"/>
    <s v="09/07/2025"/>
    <s v="09/07/2025"/>
    <s v="Codice C U P E47F23000090001 DGR 2204 2023 SECONDO BANDO PER LA SOSTITUZIONE DI IMPIANTI INQUINANTI PER RISCALDAMENTO CIVILE A BIOMASSA DEST DA REGIONE EMILIA-ROMAGNA"/>
    <s v="EUR"/>
    <n v="3000"/>
    <x v="1"/>
    <x v="5"/>
    <x v="6"/>
    <s v="Bonifico"/>
    <s v=""/>
  </r>
  <r>
    <s v="25000962660646"/>
    <s v="10/07/2025"/>
    <s v="11/07/2025"/>
    <s v="NETFLIX.COM Milan"/>
    <s v="EUR"/>
    <n v="-18.98"/>
    <x v="0"/>
    <x v="3"/>
    <x v="7"/>
    <s v="Pagamenti OnLine"/>
    <s v=""/>
  </r>
  <r>
    <s v="25000963815694"/>
    <s v="11/07/2025"/>
    <s v="14/07/2025"/>
    <s v="ESSELUNGA RAVENNA RAVENNA"/>
    <s v="EUR"/>
    <n v="-13.22"/>
    <x v="0"/>
    <x v="3"/>
    <x v="4"/>
    <s v="Pagamento POS"/>
    <s v=""/>
  </r>
  <r>
    <s v="25000965881524"/>
    <s v="13/07/2025"/>
    <s v="15/07/2025"/>
    <s v="CAVAIONI PARK BOLOGNA"/>
    <s v="EUR"/>
    <n v="-28"/>
    <x v="0"/>
    <x v="6"/>
    <x v="0"/>
    <s v="Pagamento POS"/>
    <s v=""/>
  </r>
  <r>
    <s v="25000966292905"/>
    <s v="13/07/2025"/>
    <s v="15/07/2025"/>
    <s v="STREET KITCHEN CASALECCHIO D"/>
    <s v="EUR"/>
    <n v="-23.33"/>
    <x v="0"/>
    <x v="1"/>
    <x v="1"/>
    <s v="Pagamento POS"/>
    <s v=""/>
  </r>
  <r>
    <s v="25000967321983"/>
    <s v="14/07/2025"/>
    <s v="16/07/2025"/>
    <s v="SUSHI WU DI LIU RUSSI"/>
    <s v="EUR"/>
    <n v="-21"/>
    <x v="0"/>
    <x v="1"/>
    <x v="1"/>
    <s v="Pagamento POS"/>
    <s v=""/>
  </r>
  <r>
    <s v="25000967023661"/>
    <s v="14/07/2025"/>
    <s v="16/07/2025"/>
    <s v="SUPERMERCATO CONAD SAN PIETRO IN"/>
    <s v="EUR"/>
    <n v="-7.71"/>
    <x v="0"/>
    <x v="3"/>
    <x v="4"/>
    <s v="Pagamento POS"/>
    <s v=""/>
  </r>
  <r>
    <s v="25000967110244"/>
    <s v="14/07/2025"/>
    <s v="16/07/2025"/>
    <s v="DOMUS NOVA RAVENNA"/>
    <s v="EUR"/>
    <n v="-0.9"/>
    <x v="0"/>
    <x v="7"/>
    <x v="8"/>
    <s v="Pagamento POS"/>
    <s v=""/>
  </r>
  <r>
    <s v="25000969187041"/>
    <s v="16/07/2025"/>
    <s v="18/07/2025"/>
    <s v="DISTRIBUTORE GEO - GAS RAVENNA"/>
    <s v="EUR"/>
    <n v="-26.01"/>
    <x v="0"/>
    <x v="7"/>
    <x v="9"/>
    <s v="Pagamento POS"/>
    <s v=""/>
  </r>
  <r>
    <s v="25000967102993"/>
    <s v="16/07/2025"/>
    <s v="16/07/2025"/>
    <s v="ITALY DA CITIITMX URI 15002627551078 DA ITALY"/>
    <s v="EUR"/>
    <n v="133.77000000000001"/>
    <x v="1"/>
    <x v="8"/>
    <x v="6"/>
    <s v="Bonifico"/>
    <s v=""/>
  </r>
  <r>
    <s v="25000970626070"/>
    <s v="18/07/2025"/>
    <s v="21/07/2025"/>
    <s v="DECATHLON 00000537 FAENZA"/>
    <s v="EUR"/>
    <n v="-201.88"/>
    <x v="0"/>
    <x v="6"/>
    <x v="10"/>
    <s v="Pagamento POS"/>
    <s v=""/>
  </r>
  <r>
    <s v="25000970565279"/>
    <s v="18/07/2025"/>
    <s v="21/07/2025"/>
    <s v="ARCAPLANET VIA FAENTI. RAVENNA"/>
    <s v="EUR"/>
    <n v="-102.8"/>
    <x v="0"/>
    <x v="3"/>
    <x v="3"/>
    <s v="Pagamento POS"/>
    <s v=""/>
  </r>
  <r>
    <s v="25000970626074"/>
    <s v="18/07/2025"/>
    <s v="21/07/2025"/>
    <s v="DECATHLON 00000537 FAENZA"/>
    <s v="EUR"/>
    <n v="-34.99"/>
    <x v="0"/>
    <x v="6"/>
    <x v="10"/>
    <s v="Pagamento POS"/>
    <s v=""/>
  </r>
  <r>
    <s v="25000970414812"/>
    <s v="18/07/2025"/>
    <s v="21/07/2025"/>
    <s v="SUPERMERCATO CONAD SAN PIETRO IN"/>
    <s v="EUR"/>
    <n v="-6.38"/>
    <x v="0"/>
    <x v="3"/>
    <x v="4"/>
    <s v="Pagamento POS"/>
    <s v=""/>
  </r>
  <r>
    <s v="25000970392304"/>
    <s v="18/07/2025"/>
    <s v="21/07/2025"/>
    <s v="CASSA AUTOMATICA SPIK RAVENNA"/>
    <s v="EUR"/>
    <n v="-0.4"/>
    <x v="0"/>
    <x v="7"/>
    <x v="8"/>
    <s v="Pagamento POS"/>
    <s v=""/>
  </r>
  <r>
    <s v="25000973749161"/>
    <s v="21/07/2025"/>
    <s v="23/07/2025"/>
    <s v="DALLA FEDE PIADINERIA RAVENNA"/>
    <s v="EUR"/>
    <n v="-17"/>
    <x v="0"/>
    <x v="1"/>
    <x v="1"/>
    <s v="Pagamento POS"/>
    <s v=""/>
  </r>
  <r>
    <s v="25000976108417"/>
    <s v="23/07/2025"/>
    <s v="25/07/2025"/>
    <s v="SMOLL ITALIA S.R.L. RUSSI"/>
    <s v="EUR"/>
    <n v="-50.57"/>
    <x v="0"/>
    <x v="6"/>
    <x v="0"/>
    <s v="Pagamento POS"/>
    <s v=""/>
  </r>
  <r>
    <s v="25000976736758"/>
    <s v="24/07/2025"/>
    <s v="28/07/2025"/>
    <s v="C &amp; A Moda 808 FAENZA"/>
    <s v="EUR"/>
    <n v="-13.98"/>
    <x v="0"/>
    <x v="6"/>
    <x v="11"/>
    <s v="Pagamento POS"/>
    <s v=""/>
  </r>
  <r>
    <s v="25000976723647"/>
    <s v="24/07/2025"/>
    <s v="28/07/2025"/>
    <s v="0382 IPMK FAENZA FAENZA"/>
    <s v="EUR"/>
    <n v="-7.96"/>
    <x v="0"/>
    <x v="3"/>
    <x v="4"/>
    <s v="Pagamento POS"/>
    <s v=""/>
  </r>
  <r>
    <s v="25000977250014"/>
    <s v="25/07/2025"/>
    <s v="28/07/2025"/>
    <s v="TEZENIS ELEUTHERIA RAVENNA"/>
    <s v="EUR"/>
    <n v="-30.19"/>
    <x v="0"/>
    <x v="6"/>
    <x v="12"/>
    <s v="Pagamento POS"/>
    <s v=""/>
  </r>
  <r>
    <s v="25000977059243"/>
    <s v="25/07/2025"/>
    <s v="28/07/2025"/>
    <s v="PIAZZA ITALIA RAVENNA"/>
    <s v="EUR"/>
    <n v="-24.99"/>
    <x v="0"/>
    <x v="6"/>
    <x v="12"/>
    <s v="Pagamento POS"/>
    <s v=""/>
  </r>
  <r>
    <s v="25000977250019"/>
    <s v="25/07/2025"/>
    <s v="28/07/2025"/>
    <s v="TEZENIS ELEUTHERIA RAVENNA"/>
    <s v="EUR"/>
    <n v="-23.99"/>
    <x v="0"/>
    <x v="6"/>
    <x v="12"/>
    <s v="Pagamento POS"/>
    <s v=""/>
  </r>
  <r>
    <s v="25000977040342"/>
    <s v="25/07/2025"/>
    <s v="28/07/2025"/>
    <s v="EUROSPIN RUSSI"/>
    <s v="EUR"/>
    <n v="-20.03"/>
    <x v="0"/>
    <x v="3"/>
    <x v="4"/>
    <s v="Pagamento POS"/>
    <s v=""/>
  </r>
  <r>
    <s v="25000980353376"/>
    <s v="25/07/2025"/>
    <s v="30/07/2025"/>
    <s v="AMZN Mktp IT 800-279-6620"/>
    <s v="EUR"/>
    <n v="-10.75"/>
    <x v="0"/>
    <x v="6"/>
    <x v="0"/>
    <s v="Pagamenti OnLine"/>
    <s v=""/>
  </r>
  <r>
    <s v="25000977173118"/>
    <s v="25/07/2025"/>
    <s v="28/07/2025"/>
    <s v="OVS 51280 RAVENNA RAVENNA"/>
    <s v="EUR"/>
    <n v="-9.9700000000000006"/>
    <x v="0"/>
    <x v="6"/>
    <x v="12"/>
    <s v="Pagamento POS"/>
    <s v=""/>
  </r>
  <r>
    <s v="25000977055737"/>
    <s v="25/07/2025"/>
    <s v="28/07/2025"/>
    <s v="PIAZZA ITALIA RAVENNA"/>
    <s v="EUR"/>
    <n v="-7"/>
    <x v="0"/>
    <x v="6"/>
    <x v="12"/>
    <s v="Pagamento POS"/>
    <s v=""/>
  </r>
  <r>
    <s v="25000975731033"/>
    <s v="25/07/2025"/>
    <s v="25/07/2025"/>
    <s v="/FOR/BERTACCINI SIMONE RAVENNA/INV/SALA DA MICROSOFT SRL"/>
    <s v="EUR"/>
    <n v="9986.11"/>
    <x v="0"/>
    <x v="9"/>
    <x v="6"/>
    <s v="Bonifico"/>
    <s v=""/>
  </r>
  <r>
    <s v="25000978151208"/>
    <s v="26/07/2025"/>
    <s v="28/07/2025"/>
    <s v="BAR PASTICCERIA BABINI RUSSI"/>
    <s v="EUR"/>
    <n v="-12"/>
    <x v="0"/>
    <x v="1"/>
    <x v="13"/>
    <s v="Pagamento POS"/>
    <s v=""/>
  </r>
  <r>
    <s v="25000979284669"/>
    <s v="26/07/2025"/>
    <s v="29/07/2025"/>
    <s v="ESSELUNGA RAVENNA RAVENNA"/>
    <s v="EUR"/>
    <n v="-8.4499999999999993"/>
    <x v="0"/>
    <x v="3"/>
    <x v="4"/>
    <s v="Pagamento POS"/>
    <s v=""/>
  </r>
  <r>
    <s v="25000979103157"/>
    <s v="27/07/2025"/>
    <s v="29/07/2025"/>
    <s v="RISTORANTE CORTE DEGLI COTIGNOLA"/>
    <s v="EUR"/>
    <n v="-25.5"/>
    <x v="0"/>
    <x v="1"/>
    <x v="1"/>
    <s v="Pagamento POS"/>
    <s v=""/>
  </r>
  <r>
    <s v="25000978409058"/>
    <s v="28/07/2025"/>
    <s v="28/07/2025"/>
    <s v="INVESTIMENTI A SIMONE BERTACCINI"/>
    <s v="EUR"/>
    <n v="-4000"/>
    <x v="1"/>
    <x v="0"/>
    <x v="14"/>
    <s v="Bonifico"/>
    <s v=""/>
  </r>
  <r>
    <s v="25000980233246"/>
    <s v="28/07/2025"/>
    <s v="30/07/2025"/>
    <s v="SUPERMERCATO CONAD SAN PIETRO IN"/>
    <s v="EUR"/>
    <n v="-12.69"/>
    <x v="0"/>
    <x v="3"/>
    <x v="4"/>
    <s v="Pagamento POS"/>
    <s v=""/>
  </r>
  <r>
    <s v="25000981663029"/>
    <s v="29/07/2025"/>
    <s v="31/07/2025"/>
    <s v="ARCAPLANET VIA FAENTI. RAVENNA"/>
    <s v="EUR"/>
    <n v="-134.1"/>
    <x v="0"/>
    <x v="3"/>
    <x v="3"/>
    <s v="Pagamento POS"/>
    <s v=""/>
  </r>
  <r>
    <s v="25000980306393"/>
    <s v="29/07/2025"/>
    <s v="30/07/2025"/>
    <s v="FAMILA RAVENNA"/>
    <s v="EUR"/>
    <n v="-13.07"/>
    <x v="0"/>
    <x v="3"/>
    <x v="4"/>
    <s v="Pagamento POS"/>
    <s v=""/>
  </r>
  <r>
    <s v="25000982756974"/>
    <s v="30/07/2025"/>
    <s v="01/08/2025"/>
    <s v="SumUp *L a Piada Ravenna"/>
    <s v="EUR"/>
    <n v="-22.5"/>
    <x v="0"/>
    <x v="1"/>
    <x v="1"/>
    <s v="Pagamento POS"/>
    <s v=""/>
  </r>
  <r>
    <s v="25000982850065"/>
    <s v="30/07/2025"/>
    <s v="01/08/2025"/>
    <s v="BAR GELATERIA GLORIA RAVENNA"/>
    <s v="EUR"/>
    <n v="-6"/>
    <x v="0"/>
    <x v="1"/>
    <x v="13"/>
    <s v="Pagamento POS"/>
    <s v=""/>
  </r>
  <r>
    <s v="25000981095692"/>
    <s v="31/07/2025"/>
    <s v="31/07/2025"/>
    <s v="BANCO BPM S.P.A. PAGAMENTO FINANZIAMENTO 01099/05633174 BANCA 05034 C/O BPVN PER RATA SCADENTE IL 31/07/2025"/>
    <s v="EUR"/>
    <n v="-881.2"/>
    <x v="0"/>
    <x v="10"/>
    <x v="15"/>
    <s v="Ordine permanente di addebito"/>
    <s v=""/>
  </r>
  <r>
    <s v="25000981799290"/>
    <s v="31/07/2025"/>
    <s v="31/07/2025"/>
    <s v="RICARICA VODAFONE 301"/>
    <s v="EUR"/>
    <n v="-20"/>
    <x v="0"/>
    <x v="3"/>
    <x v="16"/>
    <s v="Ricarica telefonica"/>
    <s v=""/>
  </r>
  <r>
    <s v="1359253944"/>
    <s v="31/07/2025"/>
    <s v="31/07/2025"/>
    <s v="KIMA SRL CONSELICE"/>
    <s v="EUR"/>
    <n v="-15"/>
    <x v="0"/>
    <x v="11"/>
    <x v="17"/>
    <s v="Pagamento POS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m/>
    <d v="2025-05-02T00:00:00"/>
    <d v="2025-05-02T00:00:00"/>
    <s v="BANCO BPM S.P.A. PAGAMENTO FINANZIAMENTO 01099/05633174 BANCA 05034 C/O BPVN PER RATA SCADENTE IL 30/04/2025"/>
    <s v="EUR"/>
    <n v="-881.2"/>
    <x v="0"/>
    <x v="0"/>
    <x v="0"/>
    <m/>
    <m/>
  </r>
  <r>
    <s v="25000889340741"/>
    <s v="02/05/2025"/>
    <s v="02/05/2025"/>
    <s v="Bollettino pagato con successo"/>
    <s v="EUR"/>
    <n v="-162.54"/>
    <x v="0"/>
    <x v="1"/>
    <x v="1"/>
    <s v="null"/>
    <s v=""/>
  </r>
  <r>
    <s v="25000892983356"/>
    <s v="05/05/2025"/>
    <s v="05/05/2025"/>
    <s v="American Express Services Europe LTD 61005 Carta Corporate"/>
    <s v="EUR"/>
    <n v="-184.26"/>
    <x v="0"/>
    <x v="2"/>
    <x v="2"/>
    <s v="Ordine permanente di addebito"/>
    <s v=""/>
  </r>
  <r>
    <s v="25000895619212"/>
    <s v="05/05/2025"/>
    <s v="07/05/2025"/>
    <s v="CASA DI CURA DOMUS NOV RAVENNA"/>
    <s v="EUR"/>
    <n v="-25"/>
    <x v="0"/>
    <x v="3"/>
    <x v="3"/>
    <s v="Pagamento POS"/>
    <s v=""/>
  </r>
  <r>
    <s v="25000895911848"/>
    <s v="05/05/2025"/>
    <s v="07/05/2025"/>
    <s v="D224 Ravenna Ravenna"/>
    <s v="EUR"/>
    <n v="-15.32"/>
    <x v="0"/>
    <x v="4"/>
    <x v="4"/>
    <s v="Pagamento POS"/>
    <s v=""/>
  </r>
  <r>
    <s v="25000895721784"/>
    <s v="05/05/2025"/>
    <s v="07/05/2025"/>
    <s v="SUPERMERCATO CONAD SAN PIETRO IN"/>
    <s v="EUR"/>
    <n v="-10.83"/>
    <x v="0"/>
    <x v="4"/>
    <x v="4"/>
    <s v="Pagamento POS"/>
    <s v=""/>
  </r>
  <r>
    <s v="25000895940969"/>
    <s v="05/05/2025"/>
    <s v="07/05/2025"/>
    <s v="DOMUS NOVA RAVENNA"/>
    <s v="EUR"/>
    <n v="-1.2"/>
    <x v="0"/>
    <x v="5"/>
    <x v="5"/>
    <s v="Pagamento POS"/>
    <s v=""/>
  </r>
  <r>
    <s v="25000894146524"/>
    <s v="06/05/2025"/>
    <s v="06/05/2025"/>
    <s v="Satispay Europe S.A. Ricarica dell'app Satispay"/>
    <s v="EUR"/>
    <n v="-22.54"/>
    <x v="0"/>
    <x v="2"/>
    <x v="1"/>
    <s v="Ordine permanente di addebito"/>
    <s v=""/>
  </r>
  <r>
    <s v="25000896823365"/>
    <s v="06/05/2025"/>
    <s v="08/05/2025"/>
    <s v="FUSINI SNC BAGNACAVALLO"/>
    <s v="EUR"/>
    <n v="-14.6"/>
    <x v="0"/>
    <x v="4"/>
    <x v="4"/>
    <s v="Pagamento POS"/>
    <s v=""/>
  </r>
  <r>
    <s v="25000896069697"/>
    <s v="07/05/2025"/>
    <s v="07/05/2025"/>
    <s v="affitto maggio 2025 DA DELL'ORSO CARLA"/>
    <s v="EUR"/>
    <n v="550"/>
    <x v="0"/>
    <x v="6"/>
    <x v="6"/>
    <s v="Bonifico istantaneo"/>
    <s v=""/>
  </r>
  <r>
    <s v="25000898857008"/>
    <s v="08/05/2025"/>
    <s v="12/05/2025"/>
    <s v="LA MUCCA VIOLA RUSSI"/>
    <s v="EUR"/>
    <n v="-25.92"/>
    <x v="0"/>
    <x v="7"/>
    <x v="7"/>
    <s v="Pagamento POS"/>
    <s v=""/>
  </r>
  <r>
    <s v="25000898941419"/>
    <s v="08/05/2025"/>
    <s v="12/05/2025"/>
    <s v="ESSELUNGA RAVENNA RAVENNA"/>
    <s v="EUR"/>
    <n v="-6.93"/>
    <x v="0"/>
    <x v="4"/>
    <x v="4"/>
    <s v="Pagamento POS"/>
    <s v=""/>
  </r>
  <r>
    <s v="25000899600644"/>
    <s v="09/05/2025"/>
    <s v="12/05/2025"/>
    <s v="FARMACIA SAN PANCRAZIO RUSSI"/>
    <s v="EUR"/>
    <n v="-35.880000000000003"/>
    <x v="0"/>
    <x v="3"/>
    <x v="8"/>
    <s v="Pagamento POS"/>
    <s v=""/>
  </r>
  <r>
    <s v="25000899577475"/>
    <s v="09/05/2025"/>
    <s v="12/05/2025"/>
    <s v="YONG FA RUSSI"/>
    <s v="EUR"/>
    <n v="-20.47"/>
    <x v="0"/>
    <x v="8"/>
    <x v="9"/>
    <s v="Pagamento POS"/>
    <s v=""/>
  </r>
  <r>
    <s v="25000899606213"/>
    <s v="09/05/2025"/>
    <s v="12/05/2025"/>
    <s v="NETFLIX.COM 18665797172"/>
    <s v="EUR"/>
    <n v="-18.98"/>
    <x v="0"/>
    <x v="4"/>
    <x v="10"/>
    <s v="Pagamenti OnLine"/>
    <s v=""/>
  </r>
  <r>
    <s v="25000899594180"/>
    <s v="09/05/2025"/>
    <s v="12/05/2025"/>
    <s v="AUSL ROMAGNA-RA0109 RUSSI"/>
    <s v="EUR"/>
    <n v="-12.5"/>
    <x v="0"/>
    <x v="3"/>
    <x v="11"/>
    <s v="Pagamento POS"/>
    <s v=""/>
  </r>
  <r>
    <s v="25000899266847"/>
    <s v="09/05/2025"/>
    <s v="12/05/2025"/>
    <s v="SUPERMERCATO CONAD SAN PIETRO IN"/>
    <s v="EUR"/>
    <n v="-2.42"/>
    <x v="0"/>
    <x v="4"/>
    <x v="4"/>
    <s v="Pagamento POS"/>
    <s v=""/>
  </r>
  <r>
    <s v="25000901859707"/>
    <s v="11/05/2025"/>
    <s v="13/05/2025"/>
    <s v="IL BRIGANTINO RAVENNA"/>
    <s v="EUR"/>
    <n v="-35"/>
    <x v="0"/>
    <x v="7"/>
    <x v="7"/>
    <s v="Pagamento POS"/>
    <s v=""/>
  </r>
  <r>
    <s v="25000901431303"/>
    <s v="11/05/2025"/>
    <s v="13/05/2025"/>
    <s v="BAR PASTICCERIA BABINI RUSSI"/>
    <s v="EUR"/>
    <n v="-11.5"/>
    <x v="0"/>
    <x v="7"/>
    <x v="12"/>
    <s v="Pagamento POS"/>
    <s v=""/>
  </r>
  <r>
    <s v="25000902719031"/>
    <s v="12/05/2025"/>
    <s v="14/05/2025"/>
    <s v="CASSA AUTOMATICA SPIK RAVENNA"/>
    <s v="EUR"/>
    <n v="-0.9"/>
    <x v="0"/>
    <x v="5"/>
    <x v="5"/>
    <s v="Pagamento POS"/>
    <s v=""/>
  </r>
  <r>
    <s v="25000903829986"/>
    <s v="13/05/2025"/>
    <s v="15/05/2025"/>
    <s v="EDO SUSHI RAVENNA"/>
    <s v="EUR"/>
    <n v="-57"/>
    <x v="0"/>
    <x v="7"/>
    <x v="7"/>
    <s v="Pagamento POS"/>
    <s v=""/>
  </r>
  <r>
    <s v="25000903082901"/>
    <s v="14/05/2025"/>
    <s v="14/05/2025"/>
    <s v="INVESTIMENTI A SIMONE BERTACCINI"/>
    <s v="EUR"/>
    <n v="-5000"/>
    <x v="1"/>
    <x v="2"/>
    <x v="13"/>
    <s v="Bonifico"/>
    <s v=""/>
  </r>
  <r>
    <s v="25000905057430"/>
    <s v="14/05/2025"/>
    <s v="16/05/2025"/>
    <s v="DECATHLON 00000537 FAENZA"/>
    <s v="EUR"/>
    <n v="-135.94"/>
    <x v="0"/>
    <x v="8"/>
    <x v="14"/>
    <s v="Pagamento POS"/>
    <s v=""/>
  </r>
  <r>
    <s v="25000904998541"/>
    <s v="14/05/2025"/>
    <s v="16/05/2025"/>
    <s v="FARMACIA DELLE ERBE RAVENNA"/>
    <s v="EUR"/>
    <n v="-35.1"/>
    <x v="0"/>
    <x v="3"/>
    <x v="8"/>
    <s v="Pagamento POS"/>
    <s v=""/>
  </r>
  <r>
    <s v="25000906377904"/>
    <s v="14/05/2025"/>
    <s v="19/05/2025"/>
    <s v="AMZN Mktp IT 800-279-6620"/>
    <s v="EUR"/>
    <n v="-20.309999999999999"/>
    <x v="0"/>
    <x v="8"/>
    <x v="1"/>
    <s v="Pagamenti OnLine"/>
    <s v=""/>
  </r>
  <r>
    <s v="25000902592239"/>
    <s v="14/05/2025"/>
    <s v="14/05/2025"/>
    <s v="Codice C U P E49I23000240001 BANDO PER INCENTIVI ACQUISTO DI BICICLETTE A PEDALATA ASSISTITA DGR 2008 2023 PRIMO PROVVEDIMENTO DI LIQUIDAZIO DA REGIONE EMILIA-ROMAGNA"/>
    <s v="EUR"/>
    <n v="500"/>
    <x v="0"/>
    <x v="9"/>
    <x v="6"/>
    <s v="Bonifico"/>
    <s v=""/>
  </r>
  <r>
    <s v="25000906390438"/>
    <s v="16/05/2025"/>
    <s v="19/05/2025"/>
    <s v="ARCAPLANET C.C. ESP V. RAVENNA"/>
    <s v="EUR"/>
    <n v="-117.7"/>
    <x v="0"/>
    <x v="4"/>
    <x v="15"/>
    <s v="Pagamento POS"/>
    <s v=""/>
  </r>
  <r>
    <s v="25000906299044"/>
    <s v="16/05/2025"/>
    <s v="19/05/2025"/>
    <s v="SUPERMERCATO IPERMERCA RAVENNA"/>
    <s v="EUR"/>
    <n v="-70.16"/>
    <x v="0"/>
    <x v="4"/>
    <x v="4"/>
    <s v="Pagamento POS"/>
    <s v=""/>
  </r>
  <r>
    <s v="25000906275474"/>
    <s v="16/05/2025"/>
    <s v="19/05/2025"/>
    <s v="BARAVELLI LORETTA RIST COTIGNOLA"/>
    <s v="EUR"/>
    <n v="-17.75"/>
    <x v="0"/>
    <x v="7"/>
    <x v="7"/>
    <s v="Pagamento POS"/>
    <s v=""/>
  </r>
  <r>
    <s v="25000905951486"/>
    <s v="16/05/2025"/>
    <s v="19/05/2025"/>
    <s v="F.R.E.S. SRL CASTEL BOLOGN"/>
    <s v="EUR"/>
    <n v="-10"/>
    <x v="0"/>
    <x v="1"/>
    <x v="16"/>
    <s v="Pagamento POS"/>
    <s v="Cupole "/>
  </r>
  <r>
    <s v="25000910081755"/>
    <s v="20/05/2025"/>
    <s v="22/05/2025"/>
    <s v="ARTEDILE SRLS COLONNIN RUSSI"/>
    <s v="EUR"/>
    <n v="-31.07"/>
    <x v="0"/>
    <x v="5"/>
    <x v="17"/>
    <s v="Pagamento POS"/>
    <s v=""/>
  </r>
  <r>
    <s v="25000910343259"/>
    <s v="20/05/2025"/>
    <s v="22/05/2025"/>
    <s v="FUSINI SNC BAGNACAVALLO"/>
    <s v="EUR"/>
    <n v="-7.99"/>
    <x v="0"/>
    <x v="4"/>
    <x v="4"/>
    <s v="Pagamento POS"/>
    <s v=""/>
  </r>
  <r>
    <s v="25000911391968"/>
    <s v="21/05/2025"/>
    <s v="23/05/2025"/>
    <s v="SUPERMERCATO CONAD SAN PIETRO IN"/>
    <s v="EUR"/>
    <n v="-91.21"/>
    <x v="0"/>
    <x v="4"/>
    <x v="4"/>
    <s v="Pagamento POS"/>
    <s v=""/>
  </r>
  <r>
    <s v="25000914493516"/>
    <s v="23/05/2025"/>
    <s v="27/05/2025"/>
    <s v="PAYPAL *AGRIEUROSRL 3480160457"/>
    <s v="EUR"/>
    <n v="-381.22"/>
    <x v="0"/>
    <x v="2"/>
    <x v="1"/>
    <s v="Pagamenti OnLine"/>
    <s v=""/>
  </r>
  <r>
    <s v="25000914456248"/>
    <s v="24/05/2025"/>
    <s v="27/05/2025"/>
    <s v="ESSELUNGA RAVENNA RAVENNA"/>
    <s v="EUR"/>
    <n v="-6.41"/>
    <x v="0"/>
    <x v="4"/>
    <x v="4"/>
    <s v="Pagamento POS"/>
    <s v=""/>
  </r>
  <r>
    <s v="25000914206040"/>
    <s v="25/05/2025"/>
    <s v="27/05/2025"/>
    <s v="PIZZICHERIA PANE PALAZZUOLO SU"/>
    <s v="EUR"/>
    <n v="-26"/>
    <x v="0"/>
    <x v="4"/>
    <x v="4"/>
    <s v="Pagamento POS"/>
    <s v=""/>
  </r>
  <r>
    <s v="25000915363994"/>
    <s v="26/05/2025"/>
    <s v="28/05/2025"/>
    <s v="ARCAPLANET VIA FAENTI. RAVENNA"/>
    <s v="EUR"/>
    <n v="-170.1"/>
    <x v="0"/>
    <x v="4"/>
    <x v="15"/>
    <s v="Pagamento POS"/>
    <s v=""/>
  </r>
  <r>
    <s v="25000913819228"/>
    <s v="27/05/2025"/>
    <s v="27/05/2025"/>
    <s v="Satispay Europe S.A. Ricarica dell'app Satispay"/>
    <s v="EUR"/>
    <n v="-29.5"/>
    <x v="0"/>
    <x v="2"/>
    <x v="1"/>
    <s v="Ordine permanente di addebito"/>
    <s v=""/>
  </r>
  <r>
    <s v="25000916360777"/>
    <s v="27/05/2025"/>
    <s v="29/05/2025"/>
    <s v="LORETO GIANNI RAVENNA"/>
    <s v="EUR"/>
    <n v="-19.5"/>
    <x v="0"/>
    <x v="7"/>
    <x v="7"/>
    <s v="Pagamento POS"/>
    <s v=""/>
  </r>
  <r>
    <s v="25000914105390"/>
    <s v="27/05/2025"/>
    <s v="27/05/2025"/>
    <s v="/FOR/BERTACCINI SIMONE RAVENNA/INV/SALA DA MICROSOFT SRL"/>
    <s v="EUR"/>
    <n v="2774.79"/>
    <x v="0"/>
    <x v="10"/>
    <x v="6"/>
    <s v="Bonifico"/>
    <s v=""/>
  </r>
  <r>
    <s v="25000918259894"/>
    <s v="29/05/2025"/>
    <s v="03/06/2025"/>
    <s v="CASA DI CURA DOMUS NOV RAVENNA"/>
    <s v="EUR"/>
    <n v="-108"/>
    <x v="0"/>
    <x v="3"/>
    <x v="3"/>
    <s v="Pagamento POS"/>
    <s v=""/>
  </r>
  <r>
    <s v="25000918110960"/>
    <s v="29/05/2025"/>
    <s v="03/06/2025"/>
    <s v="DOMUS NOVA RAVENNA"/>
    <s v="EUR"/>
    <n v="-1"/>
    <x v="0"/>
    <x v="5"/>
    <x v="5"/>
    <s v="Pagamento POS"/>
    <s v=""/>
  </r>
  <r>
    <s v="25000918948407"/>
    <s v="30/05/2025"/>
    <s v="03/06/2025"/>
    <s v="LORENZETTI FEDERICA RUSSI"/>
    <s v="EUR"/>
    <n v="-16"/>
    <x v="0"/>
    <x v="3"/>
    <x v="18"/>
    <s v="Pagamento POS"/>
    <s v=""/>
  </r>
  <r>
    <s v="25000917312034"/>
    <s v="30/05/2025"/>
    <s v="30/05/2025"/>
    <s v="STIPENDI DA Esselunga S.p.A."/>
    <s v="EUR"/>
    <n v="1200.1300000000001"/>
    <x v="0"/>
    <x v="10"/>
    <x v="6"/>
    <s v="Bonifico"/>
    <s v=""/>
  </r>
  <r>
    <s v="25000919436636"/>
    <s v="31/05/2025"/>
    <s v="03/06/2025"/>
    <s v="INDEGNO LA CRESCENTINA 2 BOLOGNA"/>
    <s v="EUR"/>
    <n v="-22.3"/>
    <x v="0"/>
    <x v="7"/>
    <x v="7"/>
    <s v="Pagamento POS"/>
    <s v=""/>
  </r>
  <r>
    <s v="25000919494481"/>
    <s v="31/05/2025"/>
    <s v="03/06/2025"/>
    <s v="MCDONALD'S RAVENNA"/>
    <s v="EUR"/>
    <n v="-8"/>
    <x v="0"/>
    <x v="7"/>
    <x v="7"/>
    <s v="Pagamento POS"/>
    <s v=""/>
  </r>
  <r>
    <s v="25000919494483"/>
    <s v="31/05/2025"/>
    <s v="03/06/2025"/>
    <s v="MCDONALD'S RAVENNA"/>
    <s v="EUR"/>
    <n v="-3.1"/>
    <x v="0"/>
    <x v="7"/>
    <x v="7"/>
    <s v="Pagamento POS"/>
    <s v=""/>
  </r>
  <r>
    <s v="25000919454406"/>
    <s v="31/05/2025"/>
    <s v="03/06/2025"/>
    <s v="ASPITBOLOGNA FIERA BOLOGNA FIERA"/>
    <s v="EUR"/>
    <n v="-2.8"/>
    <x v="0"/>
    <x v="5"/>
    <x v="19"/>
    <s v="Pagamento POS"/>
    <s v=""/>
  </r>
  <r>
    <s v="25000919628054"/>
    <s v="31/05/2025"/>
    <s v="03/06/2025"/>
    <s v="ASPITIMOLA IMOLA"/>
    <s v="EUR"/>
    <n v="-2.2000000000000002"/>
    <x v="0"/>
    <x v="5"/>
    <x v="19"/>
    <s v="Pagamento POS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25000803983779"/>
    <s v="01/02/2025"/>
    <s v="03/02/2025"/>
    <s v="IDEE IN FIERA S.R.L. ROMA"/>
    <s v="EUR"/>
    <x v="0"/>
    <n v="-30"/>
    <x v="0"/>
    <x v="0"/>
    <s v="Pagamento POS"/>
  </r>
  <r>
    <s v="25000805509665"/>
    <s v="01/02/2025"/>
    <s v="04/02/2025"/>
    <s v="EMOZIONI IN FIERA S.R. MASSA"/>
    <s v="EUR"/>
    <x v="0"/>
    <n v="-11"/>
    <x v="0"/>
    <x v="0"/>
    <s v="Pagamento POS"/>
  </r>
  <r>
    <s v="25000804092007"/>
    <s v="01/02/2025"/>
    <s v="03/02/2025"/>
    <s v="ANGKOR SUPERSTORE SRL BRESCIA"/>
    <s v="EUR"/>
    <x v="0"/>
    <n v="-10"/>
    <x v="1"/>
    <x v="1"/>
    <s v="Pagamento POS"/>
  </r>
  <r>
    <s v="1259539499"/>
    <s v="01/03/2025"/>
    <s v="-"/>
    <s v="AMAZON +18882796620"/>
    <s v="EUR"/>
    <x v="0"/>
    <n v="-43.98"/>
    <x v="2"/>
    <x v="0"/>
    <s v="Pagamenti OnLine"/>
  </r>
  <r>
    <s v="25000804354116"/>
    <s v="03/02/2025"/>
    <s v="03/02/2025"/>
    <s v="RICARICA CARTA A BERTACCINI SIMONE"/>
    <s v="EUR"/>
    <x v="0"/>
    <n v="-400"/>
    <x v="3"/>
    <x v="0"/>
    <s v="Bonifico"/>
  </r>
  <r>
    <s v="25000811794449"/>
    <s v="03/02/2025"/>
    <s v="10/02/2025"/>
    <s v="AMZN Mktp IT 800-279-6620"/>
    <s v="EUR"/>
    <x v="0"/>
    <n v="-45.77"/>
    <x v="2"/>
    <x v="0"/>
    <s v="Pagamenti OnLine"/>
  </r>
  <r>
    <s v="25000809697107"/>
    <s v="04/02/2025"/>
    <s v="06/02/2025"/>
    <s v="BRICOMAN ITALIA RAVENNA"/>
    <s v="EUR"/>
    <x v="0"/>
    <n v="-24.75"/>
    <x v="1"/>
    <x v="2"/>
    <s v="Pagamento POS"/>
  </r>
  <r>
    <s v="25000804634623"/>
    <s v="04/02/2025"/>
    <s v="04/02/2025"/>
    <s v="American Express Services Europe LTD 61005 Carta Corporate"/>
    <s v="EUR"/>
    <x v="0"/>
    <n v="-2"/>
    <x v="3"/>
    <x v="3"/>
    <s v="Ordine permanente di addebito"/>
  </r>
  <r>
    <s v="25000811812237"/>
    <s v="05/02/2025"/>
    <s v="10/02/2025"/>
    <s v="AMZN Mktp IT 800-279-6620"/>
    <s v="EUR"/>
    <x v="0"/>
    <n v="-100.8"/>
    <x v="2"/>
    <x v="0"/>
    <s v="Pagamenti OnLine"/>
  </r>
  <r>
    <s v="25000808616702"/>
    <s v="05/02/2025"/>
    <s v="05/02/2025"/>
    <s v="affitto Febbraio 2025 DA DELL'ORSO CARLA"/>
    <s v="EUR"/>
    <x v="0"/>
    <n v="550"/>
    <x v="4"/>
    <x v="4"/>
    <s v="Bonifico istantaneo"/>
  </r>
  <r>
    <s v="25000811171500"/>
    <s v="06/02/2025"/>
    <s v="10/02/2025"/>
    <s v="SUPERMERCATO CONAD SAN PIETRO IN"/>
    <s v="EUR"/>
    <x v="0"/>
    <n v="-7.23"/>
    <x v="1"/>
    <x v="1"/>
    <s v="Pagamento POS"/>
  </r>
  <r>
    <s v="25000813930215"/>
    <s v="09/02/2025"/>
    <s v="11/02/2025"/>
    <s v="NETFLIX.COM 18665797172"/>
    <s v="EUR"/>
    <x v="0"/>
    <n v="-18.98"/>
    <x v="1"/>
    <x v="5"/>
    <s v="Pagamenti OnLine"/>
  </r>
  <r>
    <s v="25000816163949"/>
    <s v="10/02/2025"/>
    <s v="13/02/2025"/>
    <s v="CASSA RISP DI RAVENNA SAN PANCRAZIO"/>
    <s v="EUR"/>
    <x v="0"/>
    <n v="-150"/>
    <x v="5"/>
    <x v="6"/>
    <s v="Prelievo Sportello Self"/>
  </r>
  <r>
    <s v="25000814893397"/>
    <s v="10/02/2025"/>
    <s v="12/02/2025"/>
    <s v="ARCAPLANET C.C. ESP V. RAVENNA"/>
    <s v="EUR"/>
    <x v="0"/>
    <n v="-108.5"/>
    <x v="1"/>
    <x v="7"/>
    <s v="Pagamento POS"/>
  </r>
  <r>
    <s v="25000814696874"/>
    <s v="10/02/2025"/>
    <s v="12/02/2025"/>
    <s v="SUPERMERCATO IPERMERCA RAVENNA"/>
    <s v="EUR"/>
    <x v="0"/>
    <n v="-44.84"/>
    <x v="1"/>
    <x v="1"/>
    <s v="Pagamento POS"/>
  </r>
  <r>
    <s v="25000814690216"/>
    <s v="10/02/2025"/>
    <s v="12/02/2025"/>
    <s v="MGVET SRL RUSSI"/>
    <s v="EUR"/>
    <x v="0"/>
    <n v="-40"/>
    <x v="1"/>
    <x v="7"/>
    <s v="Pagamento POS"/>
  </r>
  <r>
    <s v="25000817103766"/>
    <s v="11/02/2025"/>
    <s v="14/02/2025"/>
    <s v="CINEMA CITY RAVENNA RAVENNA"/>
    <s v="EUR"/>
    <x v="0"/>
    <n v="-60"/>
    <x v="0"/>
    <x v="8"/>
    <s v="Pagamenti OnLine"/>
  </r>
  <r>
    <s v="25000816036148"/>
    <s v="11/02/2025"/>
    <s v="13/02/2025"/>
    <s v="SUSHI ONE RAVENNA"/>
    <s v="EUR"/>
    <x v="0"/>
    <n v="-56.8"/>
    <x v="6"/>
    <x v="9"/>
    <s v="Pagamento POS"/>
  </r>
  <r>
    <s v="25000817099899"/>
    <s v="11/02/2025"/>
    <s v="14/02/2025"/>
    <s v="CINEMA CITY RAVENNA RAVENNA"/>
    <s v="EUR"/>
    <x v="0"/>
    <n v="-16"/>
    <x v="0"/>
    <x v="8"/>
    <s v="Pagamenti OnLine"/>
  </r>
  <r>
    <s v="25000817072562"/>
    <s v="12/02/2025"/>
    <s v="14/02/2025"/>
    <s v="FARMACIA SAN PANCRAZIO RUSSI"/>
    <s v="EUR"/>
    <x v="0"/>
    <n v="-47.3"/>
    <x v="7"/>
    <x v="10"/>
    <s v="Pagamento POS"/>
  </r>
  <r>
    <s v="25000819200229"/>
    <s v="14/02/2025"/>
    <s v="17/02/2025"/>
    <s v="LIDL 357 RAVENNA"/>
    <s v="EUR"/>
    <x v="0"/>
    <n v="-53.34"/>
    <x v="1"/>
    <x v="1"/>
    <s v="Pagamento POS"/>
  </r>
  <r>
    <s v="25000819074072"/>
    <s v="14/02/2025"/>
    <s v="17/02/2025"/>
    <s v="ASPITBOLOGNA SAN LAZZA BOLOGNA SAN L"/>
    <s v="EUR"/>
    <x v="0"/>
    <n v="-3.8"/>
    <x v="8"/>
    <x v="11"/>
    <s v="Pagamento POS"/>
  </r>
  <r>
    <s v="25000821229923"/>
    <s v="15/02/2025"/>
    <s v="19/02/2025"/>
    <s v="EDO SUSHI RAVENNA"/>
    <s v="EUR"/>
    <x v="0"/>
    <n v="-31"/>
    <x v="6"/>
    <x v="9"/>
    <s v="Pagamento POS"/>
  </r>
  <r>
    <s v="25000818969264"/>
    <s v="15/02/2025"/>
    <s v="17/02/2025"/>
    <s v="ASPITFAENZA FAENZA"/>
    <s v="EUR"/>
    <x v="0"/>
    <n v="-3.8"/>
    <x v="8"/>
    <x v="11"/>
    <s v="Pagamento POS"/>
  </r>
  <r>
    <s v="25000821232498"/>
    <s v="17/02/2025"/>
    <s v="19/02/2025"/>
    <s v="CAFFE MATTEI RAVENNA"/>
    <s v="EUR"/>
    <x v="0"/>
    <n v="-7.25"/>
    <x v="6"/>
    <x v="12"/>
    <s v="Pagamento POS"/>
  </r>
  <r>
    <s v="25000819412603"/>
    <s v="18/02/2025"/>
    <s v="18/02/2025"/>
    <s v="Engie Italia S.p.A. Bolletta n. MM.2025.426911.0"/>
    <s v="EUR"/>
    <x v="0"/>
    <n v="-265.45"/>
    <x v="1"/>
    <x v="13"/>
    <s v="Ordine permanente di addebito"/>
  </r>
  <r>
    <s v="25000821987888"/>
    <s v="18/02/2025"/>
    <s v="20/02/2025"/>
    <s v="ESSELUNGA RAVENNA RAVENNA"/>
    <s v="EUR"/>
    <x v="0"/>
    <n v="-55.03"/>
    <x v="1"/>
    <x v="1"/>
    <s v="Pagamento POS"/>
  </r>
  <r>
    <s v="25000823087508"/>
    <s v="19/02/2025"/>
    <s v="21/02/2025"/>
    <s v="ESSELUNGA RAVENNA RAVENNA"/>
    <s v="EUR"/>
    <x v="0"/>
    <n v="-7.37"/>
    <x v="1"/>
    <x v="1"/>
    <s v="Pagamento POS"/>
  </r>
  <r>
    <s v="25000822060370"/>
    <s v="20/02/2025"/>
    <s v="20/02/2025"/>
    <s v="PAGAMENTO FATTURA 106 DEL 18-02-2025 - INTERVENTO DI ASSISTENZA TECNICA A NR 5 CONDIZIONATORI, MANODOPERA E MATERIALE DI CONSUMO A AUTOMATIKA SOLUTIONS SRL"/>
    <s v="EUR"/>
    <x v="0"/>
    <n v="-330"/>
    <x v="5"/>
    <x v="14"/>
    <s v="Bonifico"/>
  </r>
  <r>
    <s v="25000823845540"/>
    <s v="21/02/2025"/>
    <s v="24/02/2025"/>
    <s v="SUPERMERCATO CONAD SAN PIETRO IN"/>
    <s v="EUR"/>
    <x v="0"/>
    <n v="-36.43"/>
    <x v="1"/>
    <x v="1"/>
    <s v="Pagamento POS"/>
  </r>
  <r>
    <s v="25000823876280"/>
    <s v="21/02/2025"/>
    <s v="24/02/2025"/>
    <s v="FARMACIA DELLE ERBE RAVENNA"/>
    <s v="EUR"/>
    <x v="0"/>
    <n v="-27.3"/>
    <x v="7"/>
    <x v="10"/>
    <s v="Pagamento POS"/>
  </r>
  <r>
    <s v="25000824836267"/>
    <s v="22/02/2025"/>
    <s v="24/02/2025"/>
    <s v="ARCAPLANET RAVENNA"/>
    <s v="EUR"/>
    <x v="0"/>
    <n v="-72.2"/>
    <x v="1"/>
    <x v="7"/>
    <s v="Pagamento POS"/>
  </r>
  <r>
    <s v="25000826971625"/>
    <s v="24/02/2025"/>
    <s v="26/02/2025"/>
    <s v="MGVET SRL RUSSI"/>
    <s v="EUR"/>
    <x v="0"/>
    <n v="-394"/>
    <x v="1"/>
    <x v="7"/>
    <s v="Pagamento POS"/>
  </r>
  <r>
    <s v="25000826832988"/>
    <s v="26/02/2025"/>
    <s v="26/02/2025"/>
    <s v="SOSTITUZIONE CINGHIA PASTORELLI CHIARA A OFFICINA NARDI DAMIANO E CASADIO MANUEL S N C"/>
    <s v="EUR"/>
    <x v="0"/>
    <n v="-500"/>
    <x v="8"/>
    <x v="15"/>
    <s v="Bonifico"/>
  </r>
  <r>
    <s v="25000828903291"/>
    <s v="26/02/2025"/>
    <s v="28/02/2025"/>
    <s v="ASPITIMOLA IMOLA"/>
    <s v="EUR"/>
    <x v="0"/>
    <n v="-19.100000000000001"/>
    <x v="8"/>
    <x v="11"/>
    <s v="Pagamento POS"/>
  </r>
  <r>
    <s v="25000827523988"/>
    <s v="27/02/2025"/>
    <s v="27/02/2025"/>
    <s v="/FOR/BERTACCINI SIMONE RAVENNA/INV/SALA DA MICROSOFT SRL"/>
    <s v="EUR"/>
    <x v="0"/>
    <n v="3525.4"/>
    <x v="9"/>
    <x v="4"/>
    <s v="Bonifico"/>
  </r>
  <r>
    <s v="25000828401358"/>
    <s v="28/02/2025"/>
    <s v="28/02/2025"/>
    <s v="BANCO BPM S.P.A. PAGAMENTO FINANZIAMENTO 01099/05633174 BANCA 05034 C/O BPVN PER RATA SCADENTE IL 28/02/2025"/>
    <s v="EUR"/>
    <x v="0"/>
    <n v="-881.2"/>
    <x v="10"/>
    <x v="16"/>
    <s v="Ordine permanente di addebito"/>
  </r>
  <r>
    <s v="25000828720335"/>
    <s v="28/02/2025"/>
    <s v="28/02/2025"/>
    <s v="STIPENDI DA Esselunga S.p.A."/>
    <s v="EUR"/>
    <x v="0"/>
    <n v="1265.3499999999999"/>
    <x v="9"/>
    <x v="4"/>
    <s v="Bonifico"/>
  </r>
  <r>
    <m/>
    <m/>
    <d v="2025-02-03T00:00:00"/>
    <s v="EDEN VIAGGI ANTICIPO SHARM"/>
    <s v="EUR"/>
    <x v="0"/>
    <n v="-1193.3"/>
    <x v="8"/>
    <x v="17"/>
    <s v="Pagamento Carta"/>
  </r>
  <r>
    <m/>
    <m/>
    <d v="2025-02-17T00:00:00"/>
    <s v="CICLI LEGA DI LEGA AND LUGO"/>
    <s v="EUR"/>
    <x v="0"/>
    <n v="-925"/>
    <x v="0"/>
    <x v="0"/>
    <s v="Pagamento Cart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24000750980534"/>
    <s v="03/12/2024"/>
    <s v="05/12/2024"/>
    <s v="KOWA SRL CASTEL BOLOGN"/>
    <s v="EUR"/>
    <n v="-109.6"/>
    <x v="0"/>
    <x v="0"/>
    <x v="0"/>
    <s v="Pagamento POS"/>
  </r>
  <r>
    <s v="24000745612058"/>
    <s v="03/12/2024"/>
    <s v="03/12/2024"/>
    <s v="Satispay Europe S.A. Satispay app top-up"/>
    <s v="EUR"/>
    <n v="-67.5"/>
    <x v="0"/>
    <x v="1"/>
    <x v="1"/>
    <s v="Ordine permanente di addebito"/>
  </r>
  <r>
    <s v="24000750957647"/>
    <s v="03/12/2024"/>
    <s v="05/12/2024"/>
    <s v="VILLAGGIO NATURA S.R.L RUSSI"/>
    <s v="EUR"/>
    <n v="-59.53"/>
    <x v="0"/>
    <x v="2"/>
    <x v="2"/>
    <s v="Pagamento POS"/>
  </r>
  <r>
    <s v="24000750877861"/>
    <s v="03/12/2024"/>
    <s v="05/12/2024"/>
    <s v="FARMACIA SAN PANCRAZIO RUSSI"/>
    <s v="EUR"/>
    <n v="-41.1"/>
    <x v="0"/>
    <x v="3"/>
    <x v="3"/>
    <s v="Pagamento POS"/>
  </r>
  <r>
    <s v="24000750707873"/>
    <s v="03/12/2024"/>
    <s v="05/12/2024"/>
    <s v="SumUp *zhouxiaoqin Massa lombard"/>
    <s v="EUR"/>
    <n v="-20"/>
    <x v="0"/>
    <x v="4"/>
    <x v="4"/>
    <s v="Pagamento POS"/>
  </r>
  <r>
    <s v="24000750515869"/>
    <s v="03/12/2024"/>
    <s v="05/12/2024"/>
    <s v="TIGOTA' RUSSI"/>
    <s v="EUR"/>
    <n v="-12.7"/>
    <x v="0"/>
    <x v="4"/>
    <x v="1"/>
    <s v="Pagamento POS"/>
  </r>
  <r>
    <s v="24000746199746"/>
    <s v="03/12/2024"/>
    <s v="03/12/2024"/>
    <s v="affitto Dicembre DA DELL'ORSO CARLA"/>
    <s v="EUR"/>
    <n v="550"/>
    <x v="0"/>
    <x v="5"/>
    <x v="5"/>
    <s v="Bonifico"/>
  </r>
  <r>
    <s v="24000749553910"/>
    <s v="04/12/2024"/>
    <s v="04/12/2024"/>
    <s v="INVESTIMENTI A SIMONE BERTACCINI"/>
    <s v="EUR"/>
    <n v="-5000"/>
    <x v="1"/>
    <x v="6"/>
    <x v="5"/>
    <s v="Bonifico"/>
  </r>
  <r>
    <s v="24000751695010"/>
    <s v="04/12/2024"/>
    <s v="06/12/2024"/>
    <s v="SUPERMERCATO IPERMERCA RAVENNA"/>
    <s v="EUR"/>
    <n v="-15.9"/>
    <x v="0"/>
    <x v="2"/>
    <x v="2"/>
    <s v="Pagamento POS"/>
  </r>
  <r>
    <s v="24000751885621"/>
    <s v="04/12/2024"/>
    <s v="06/12/2024"/>
    <s v="TGTG 0q5cjhw7a58k0 Copenhagen"/>
    <s v="EUR"/>
    <n v="-3.99"/>
    <x v="0"/>
    <x v="0"/>
    <x v="0"/>
    <s v="Pagamenti OnLine"/>
  </r>
  <r>
    <s v="24000750012661"/>
    <s v="05/12/2024"/>
    <s v="05/12/2024"/>
    <s v="American Express Services Europe LTD 61005 Carta Corporate"/>
    <s v="EUR"/>
    <n v="-1030.52"/>
    <x v="1"/>
    <x v="1"/>
    <x v="6"/>
    <s v="Ordine permanente di addebito"/>
  </r>
  <r>
    <s v="24000753128289"/>
    <s v="06/12/2024"/>
    <s v="09/12/2024"/>
    <s v="ESSELUNGA RAVENNA RAVENNA"/>
    <s v="EUR"/>
    <n v="-50.63"/>
    <x v="0"/>
    <x v="2"/>
    <x v="2"/>
    <s v="Pagamento POS"/>
  </r>
  <r>
    <s v="24000752849509"/>
    <s v="06/12/2024"/>
    <s v="09/12/2024"/>
    <s v="AUSL ROMAGNA-RA0001 RAVENNA"/>
    <s v="EUR"/>
    <n v="-44.25"/>
    <x v="0"/>
    <x v="3"/>
    <x v="7"/>
    <s v="Pagamento POS"/>
  </r>
  <r>
    <s v="24000755101764"/>
    <s v="07/12/2024"/>
    <s v="10/12/2024"/>
    <s v="PAYPAL *CIPAGRICOLA 3479260142"/>
    <s v="EUR"/>
    <n v="-240"/>
    <x v="0"/>
    <x v="2"/>
    <x v="2"/>
    <s v="Pagamenti OnLine"/>
  </r>
  <r>
    <s v="24000757383463"/>
    <s v="09/12/2024"/>
    <s v="12/12/2024"/>
    <s v="Amazon.it www.amazon.it"/>
    <s v="EUR"/>
    <n v="-40.590000000000003"/>
    <x v="0"/>
    <x v="4"/>
    <x v="1"/>
    <s v="Pagamenti OnLine"/>
  </r>
  <r>
    <s v="24000756277947"/>
    <s v="09/12/2024"/>
    <s v="11/12/2024"/>
    <s v="CASA DI CURA DOMUS NOV RAVENNA"/>
    <s v="EUR"/>
    <n v="-15.5"/>
    <x v="0"/>
    <x v="3"/>
    <x v="8"/>
    <s v="Pagamento POS"/>
  </r>
  <r>
    <s v="24000754867677"/>
    <s v="10/12/2024"/>
    <s v="10/12/2024"/>
    <s v="INVESTIMENTI A SIMONE BERTACCINI"/>
    <s v="EUR"/>
    <n v="-2000"/>
    <x v="1"/>
    <x v="6"/>
    <x v="5"/>
    <s v="Bonifico"/>
  </r>
  <r>
    <s v="24000754869488"/>
    <s v="10/12/2024"/>
    <s v="10/12/2024"/>
    <s v="TRASFERIMENTO CONTO A BERTACCINI SIMONE"/>
    <s v="EUR"/>
    <n v="-300"/>
    <x v="0"/>
    <x v="1"/>
    <x v="1"/>
    <s v="Bonifico"/>
  </r>
  <r>
    <s v="24000757358776"/>
    <s v="10/12/2024"/>
    <s v="12/12/2024"/>
    <s v="ARCAPLANET VIA FAENTI. RAVENNA"/>
    <s v="EUR"/>
    <n v="-145.1"/>
    <x v="0"/>
    <x v="2"/>
    <x v="9"/>
    <s v="Pagamento POS"/>
  </r>
  <r>
    <s v="24000757448961"/>
    <s v="10/12/2024"/>
    <s v="12/12/2024"/>
    <s v="SUPERMERCATO XX1816XX LUGO"/>
    <s v="EUR"/>
    <n v="-31.89"/>
    <x v="0"/>
    <x v="2"/>
    <x v="2"/>
    <s v="Pagamento POS"/>
  </r>
  <r>
    <s v="24000756105004"/>
    <s v="10/12/2024"/>
    <s v="11/12/2024"/>
    <s v="Netflix.com Los Gatos"/>
    <s v="EUR"/>
    <n v="-18.98"/>
    <x v="0"/>
    <x v="2"/>
    <x v="10"/>
    <s v="Pagamenti OnLine"/>
  </r>
  <r>
    <s v="24000758769039"/>
    <s v="11/12/2024"/>
    <s v="13/12/2024"/>
    <s v="SFPEM S913854B FAENZA RAVENNA"/>
    <s v="EUR"/>
    <n v="-33.5"/>
    <x v="0"/>
    <x v="7"/>
    <x v="11"/>
    <s v="Pagamento POS"/>
  </r>
  <r>
    <s v="24000757834803"/>
    <s v="12/12/2024"/>
    <s v="12/12/2024"/>
    <s v="INVESTIMENTI A SIMONE BERTACCINI"/>
    <s v="EUR"/>
    <n v="-4000"/>
    <x v="1"/>
    <x v="6"/>
    <x v="5"/>
    <s v="Bonifico"/>
  </r>
  <r>
    <s v="24000759585494"/>
    <s v="12/12/2024"/>
    <s v="16/12/2024"/>
    <s v="ESSELUNGA RAVENNA RAVENNA"/>
    <s v="EUR"/>
    <n v="-34.549999999999997"/>
    <x v="0"/>
    <x v="2"/>
    <x v="2"/>
    <s v="Pagamento POS"/>
  </r>
  <r>
    <s v="24000760881455"/>
    <s v="13/12/2024"/>
    <s v="16/12/2024"/>
    <s v="AEROPORTO FRANCESCO BA LUGO"/>
    <s v="EUR"/>
    <n v="-24"/>
    <x v="0"/>
    <x v="0"/>
    <x v="0"/>
    <s v="Pagamento POS"/>
  </r>
  <r>
    <s v="24000760095375"/>
    <s v="13/12/2024"/>
    <s v="16/12/2024"/>
    <s v="YONG FA RUSSI"/>
    <s v="EUR"/>
    <n v="-11.6"/>
    <x v="0"/>
    <x v="4"/>
    <x v="4"/>
    <s v="Pagamento POS"/>
  </r>
  <r>
    <s v="24000758584540"/>
    <s v="13/12/2024"/>
    <s v="13/12/2024"/>
    <s v="ACCONTO 13MA DA Esselunga S.p.A."/>
    <s v="EUR"/>
    <n v="499.56"/>
    <x v="0"/>
    <x v="8"/>
    <x v="5"/>
    <s v="Bonifico"/>
  </r>
  <r>
    <s v="24000758448745"/>
    <s v="13/12/2024"/>
    <s v="13/12/2024"/>
    <s v="/FOR/BERTACCINI SIMONE RAVENNA/INV/SALA DA MICROSOFT SRL"/>
    <s v="EUR"/>
    <n v="3618.28"/>
    <x v="0"/>
    <x v="8"/>
    <x v="5"/>
    <s v="Bonifico"/>
  </r>
  <r>
    <s v="24000762249592"/>
    <s v="15/12/2024"/>
    <s v="17/12/2024"/>
    <s v="PB RUSSI"/>
    <s v="EUR"/>
    <n v="-68.95"/>
    <x v="0"/>
    <x v="7"/>
    <x v="12"/>
    <s v="Pagamento POS"/>
  </r>
  <r>
    <s v="24000764464976"/>
    <s v="15/12/2024"/>
    <s v="19/12/2024"/>
    <s v="AMZN Mktp IT 800-279-6620"/>
    <s v="EUR"/>
    <n v="-40.840000000000003"/>
    <x v="0"/>
    <x v="4"/>
    <x v="1"/>
    <s v="Pagamenti OnLine"/>
  </r>
  <r>
    <s v="24000761828401"/>
    <s v="15/12/2024"/>
    <s v="17/12/2024"/>
    <s v="RISTORANTE RADICCHIO R RAVENNA"/>
    <s v="EUR"/>
    <n v="-29"/>
    <x v="0"/>
    <x v="0"/>
    <x v="0"/>
    <s v="Pagamento POS"/>
  </r>
  <r>
    <s v="24000763173492"/>
    <s v="16/12/2024"/>
    <s v="18/12/2024"/>
    <s v="SUPERMERCATO IPERMERCA RAVENNA"/>
    <s v="EUR"/>
    <n v="-30.97"/>
    <x v="0"/>
    <x v="2"/>
    <x v="2"/>
    <s v="Pagamento POS"/>
  </r>
  <r>
    <s v="24000761402846"/>
    <s v="17/12/2024"/>
    <s v="17/12/2024"/>
    <s v="Engie Italia S.p.A. Bolletta n. MM.2024.4574145.0"/>
    <s v="EUR"/>
    <n v="-47.78"/>
    <x v="0"/>
    <x v="2"/>
    <x v="13"/>
    <s v="Ordine permanente di addebito"/>
  </r>
  <r>
    <s v="24000765471845"/>
    <s v="18/12/2024"/>
    <s v="20/12/2024"/>
    <s v="SUPERMERCATO XX2742XX RUSSI"/>
    <s v="EUR"/>
    <n v="-41.29"/>
    <x v="0"/>
    <x v="2"/>
    <x v="2"/>
    <s v="Pagamento POS"/>
  </r>
  <r>
    <s v="24000765674696"/>
    <s v="18/12/2024"/>
    <s v="20/12/2024"/>
    <s v="DOMUS NOVA RAVENNA"/>
    <s v="EUR"/>
    <n v="-1.4"/>
    <x v="0"/>
    <x v="7"/>
    <x v="14"/>
    <s v="Pagamento POS"/>
  </r>
  <r>
    <s v="24000766596152"/>
    <s v="20/12/2024"/>
    <s v="23/12/2024"/>
    <s v="ESSELUNGA RAVENNA RAVENNA"/>
    <s v="EUR"/>
    <n v="-75.13"/>
    <x v="0"/>
    <x v="2"/>
    <x v="2"/>
    <s v="Pagamento POS"/>
  </r>
  <r>
    <s v="24000766998702"/>
    <s v="20/12/2024"/>
    <s v="23/12/2024"/>
    <s v="HAPPY CASA STORE RAVENNA"/>
    <s v="EUR"/>
    <n v="-44.17"/>
    <x v="0"/>
    <x v="2"/>
    <x v="15"/>
    <s v="Pagamento POS"/>
  </r>
  <r>
    <s v="24000767056278"/>
    <s v="20/12/2024"/>
    <s v="23/12/2024"/>
    <s v="RISTORANTE CHINATOWN RAVENNA"/>
    <s v="EUR"/>
    <n v="-42.5"/>
    <x v="0"/>
    <x v="0"/>
    <x v="0"/>
    <s v="Pagamento POS"/>
  </r>
  <r>
    <s v="24000766982826"/>
    <s v="20/12/2024"/>
    <s v="23/12/2024"/>
    <s v="BRICOMAN ITALIA RAVENNA"/>
    <s v="EUR"/>
    <n v="-24.95"/>
    <x v="0"/>
    <x v="2"/>
    <x v="16"/>
    <s v="Pagamento POS"/>
  </r>
  <r>
    <s v="24000766986542"/>
    <s v="20/12/2024"/>
    <s v="23/12/2024"/>
    <s v="BRICOMAN ITALIA RAVENNA"/>
    <s v="EUR"/>
    <n v="-7.9"/>
    <x v="0"/>
    <x v="2"/>
    <x v="16"/>
    <s v="Pagamento POS"/>
  </r>
  <r>
    <s v="24000768952538"/>
    <s v="22/12/2024"/>
    <s v="24/12/2024"/>
    <s v="ATOMICO16 RAVENNA"/>
    <s v="EUR"/>
    <n v="-29.5"/>
    <x v="0"/>
    <x v="0"/>
    <x v="0"/>
    <s v="Pagamento POS"/>
  </r>
  <r>
    <s v="24000769785173"/>
    <s v="23/12/2024"/>
    <s v="27/12/2024"/>
    <s v="BRICOMAN ITALIA RAVENNA"/>
    <s v="EUR"/>
    <n v="-51.28"/>
    <x v="0"/>
    <x v="2"/>
    <x v="16"/>
    <s v="Pagamento POS"/>
  </r>
  <r>
    <s v="24000769713921"/>
    <s v="23/12/2024"/>
    <s v="27/12/2024"/>
    <s v="SUPERMERCATO CONAD SAN PIETRO IN"/>
    <s v="EUR"/>
    <n v="-50.48"/>
    <x v="0"/>
    <x v="2"/>
    <x v="2"/>
    <s v="Pagamento POS"/>
  </r>
  <r>
    <s v="24000770244805"/>
    <s v="24/12/2024"/>
    <s v="27/12/2024"/>
    <s v="GIARDINO DI GIADA FAENZA"/>
    <s v="EUR"/>
    <n v="-54"/>
    <x v="0"/>
    <x v="0"/>
    <x v="0"/>
    <s v="Pagamento POS"/>
  </r>
  <r>
    <s v="24000770097853"/>
    <s v="24/12/2024"/>
    <s v="27/12/2024"/>
    <s v="SUPERMERCATO XX2742XX RUSSI"/>
    <s v="EUR"/>
    <n v="-43.63"/>
    <x v="0"/>
    <x v="2"/>
    <x v="2"/>
    <s v="Pagamento POS"/>
  </r>
  <r>
    <s v="24000770907163"/>
    <s v="24/12/2024"/>
    <s v="27/12/2024"/>
    <s v="ESSELUNGA RAVENNA RAVENNA"/>
    <s v="EUR"/>
    <n v="-29.07"/>
    <x v="0"/>
    <x v="2"/>
    <x v="2"/>
    <s v="Pagamento POS"/>
  </r>
  <r>
    <s v="24000770208603"/>
    <s v="24/12/2024"/>
    <s v="27/12/2024"/>
    <s v="YONG FA RUSSI"/>
    <s v="EUR"/>
    <n v="-13.2"/>
    <x v="0"/>
    <x v="4"/>
    <x v="4"/>
    <s v="Pagamento POS"/>
  </r>
  <r>
    <s v="24000768625873"/>
    <s v="24/12/2024"/>
    <s v="24/12/2024"/>
    <s v="/FOR/BERTACCINI SIMONE RAVENNA/INV/SALA DA MICROSOFT SRL"/>
    <s v="EUR"/>
    <n v="1251.82"/>
    <x v="0"/>
    <x v="8"/>
    <x v="5"/>
    <s v="Bonifico"/>
  </r>
  <r>
    <s v="24000771654768"/>
    <s v="27/12/2024"/>
    <s v="30/12/2024"/>
    <s v="TIGER STORE RIMINI RIMINI"/>
    <s v="EUR"/>
    <n v="-6.5"/>
    <x v="0"/>
    <x v="4"/>
    <x v="1"/>
    <s v="Pagamento POS"/>
  </r>
  <r>
    <s v="24000771857293"/>
    <s v="27/12/2024"/>
    <s v="30/12/2024"/>
    <s v="ASPITFORLI' FORLI'"/>
    <s v="EUR"/>
    <n v="-3.5"/>
    <x v="0"/>
    <x v="7"/>
    <x v="17"/>
    <s v="Pagamento POS"/>
  </r>
  <r>
    <s v="24000771963487"/>
    <s v="27/12/2024"/>
    <s v="30/12/2024"/>
    <s v="ASPITRIMINI SUD RIMINI SUD"/>
    <s v="EUR"/>
    <n v="-3.5"/>
    <x v="0"/>
    <x v="7"/>
    <x v="17"/>
    <s v="Pagamento POS"/>
  </r>
  <r>
    <s v="24000774027862"/>
    <s v="28/12/2024"/>
    <s v="31/12/2024"/>
    <s v="ESSELUNGA RAVENNA RAVENNA"/>
    <s v="EUR"/>
    <n v="-21.01"/>
    <x v="0"/>
    <x v="2"/>
    <x v="2"/>
    <s v="Pagamento POS"/>
  </r>
  <r>
    <s v="24000773204920"/>
    <s v="31/12/2024"/>
    <s v="31/12/2024"/>
    <s v="BANCO BPM S.P.A. PAGAMENTO FINANZIAMENTO 01099/05633174 BANCA 05034 C/O BPVN PER RATA SCADENTE IL 31/12/2024"/>
    <s v="EUR"/>
    <n v="-881.2"/>
    <x v="0"/>
    <x v="9"/>
    <x v="18"/>
    <s v="Ordine permanente di addebito"/>
  </r>
  <r>
    <s v="25000775386970"/>
    <s v="31/12/2024"/>
    <s v="02/01/2025"/>
    <s v="ESSELUNGA RAVENNA RAVENNA"/>
    <s v="EUR"/>
    <n v="-20.79"/>
    <x v="0"/>
    <x v="2"/>
    <x v="2"/>
    <s v="Pagamento POS"/>
  </r>
  <r>
    <s v="24000773617790"/>
    <s v="31/12/2024"/>
    <s v="31/12/2024"/>
    <s v="FT: 202449449524 DA GESTORE DEI SERVIZI ENERGETICI - GS"/>
    <s v="EUR"/>
    <n v="458.22"/>
    <x v="0"/>
    <x v="10"/>
    <x v="5"/>
    <s v="Bonifico"/>
  </r>
  <r>
    <s v="24000773602489"/>
    <s v="31/12/2024"/>
    <s v="31/12/2024"/>
    <s v="STIPENDI DA Esselunga S.p.A."/>
    <s v="EUR"/>
    <n v="1203.51"/>
    <x v="0"/>
    <x v="8"/>
    <x v="5"/>
    <s v="Bonifico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25000777906059"/>
    <s v="02/01/2025"/>
    <s v="07/01/2025"/>
    <s v="SUPERMERCATO CONAD GAL RAVENNA"/>
    <s v="EUR"/>
    <n v="-0.84"/>
    <x v="0"/>
    <x v="0"/>
    <x v="0"/>
    <s v="Pagamento POS"/>
  </r>
  <r>
    <s v="25000777893192"/>
    <s v="02/01/2025"/>
    <s v="07/01/2025"/>
    <s v="PASTICCERIA STELLA RAVENNA"/>
    <s v="EUR"/>
    <n v="-16.920000000000002"/>
    <x v="0"/>
    <x v="0"/>
    <x v="0"/>
    <s v="Pagamento POS"/>
  </r>
  <r>
    <s v="25000777866799"/>
    <s v="02/01/2025"/>
    <s v="07/01/2025"/>
    <s v="ESSELUNGA RAVENNA RAVENNA"/>
    <s v="EUR"/>
    <n v="-30.94"/>
    <x v="0"/>
    <x v="0"/>
    <x v="0"/>
    <s v="Pagamento POS"/>
  </r>
  <r>
    <s v="25000775522689"/>
    <s v="02/01/2025"/>
    <s v="02/01/2025"/>
    <s v="INVESTIMENTI A SIMONE BERTACCINI"/>
    <s v="EUR"/>
    <n v="-3000"/>
    <x v="1"/>
    <x v="1"/>
    <x v="1"/>
    <s v="Bonifico"/>
  </r>
  <r>
    <s v="25000776886303"/>
    <s v="03/01/2025"/>
    <s v="31/12/2024"/>
    <s v="C/C D152200534730"/>
    <s v="EUR"/>
    <n v="-8.6"/>
    <x v="0"/>
    <x v="2"/>
    <x v="2"/>
    <s v="Imposta di bollo"/>
  </r>
  <r>
    <s v="25000778411346"/>
    <s v="03/01/2025"/>
    <s v="07/01/2025"/>
    <s v="VILLAGGIO NATURA S.R.L RUSSI"/>
    <s v="EUR"/>
    <n v="-28.05"/>
    <x v="0"/>
    <x v="0"/>
    <x v="0"/>
    <s v="Pagamento POS"/>
  </r>
  <r>
    <s v="25000781433042"/>
    <s v="07/01/2025"/>
    <s v="09/01/2025"/>
    <s v="SUPERMERCATO XX2742XX RUSSI"/>
    <s v="EUR"/>
    <n v="-17.72"/>
    <x v="0"/>
    <x v="0"/>
    <x v="0"/>
    <s v="Pagamento POS"/>
  </r>
  <r>
    <s v="25000781990033"/>
    <s v="07/01/2025"/>
    <s v="09/01/2025"/>
    <s v="SICLARI LUIGI BAGNACAVALLO"/>
    <s v="EUR"/>
    <n v="-42"/>
    <x v="0"/>
    <x v="3"/>
    <x v="3"/>
    <s v="Pagamento POS"/>
  </r>
  <r>
    <s v="25000781434258"/>
    <s v="07/01/2025"/>
    <s v="09/01/2025"/>
    <s v="FLAMIGNI SRL FORLI'"/>
    <s v="EUR"/>
    <n v="-56"/>
    <x v="0"/>
    <x v="4"/>
    <x v="4"/>
    <s v="Pagamento POS"/>
  </r>
  <r>
    <s v="25000779127247"/>
    <s v="07/01/2025"/>
    <s v="07/01/2025"/>
    <s v="American Express Services Europe LTD 61005 Carta Corporate"/>
    <s v="EUR"/>
    <n v="-278.24"/>
    <x v="1"/>
    <x v="5"/>
    <x v="5"/>
    <s v="Ordine permanente di addebito"/>
  </r>
  <r>
    <s v="25000780469912"/>
    <s v="08/01/2025"/>
    <s v="08/01/2025"/>
    <s v="affitto Gennaio 2025 DA DELL'ORSO CARLA"/>
    <s v="EUR"/>
    <n v="550"/>
    <x v="0"/>
    <x v="6"/>
    <x v="1"/>
    <s v="Bonifico"/>
  </r>
  <r>
    <s v="25000783581966"/>
    <s v="08/01/2025"/>
    <s v="10/01/2025"/>
    <s v="NON SOLO PIXEL RUSSI"/>
    <s v="EUR"/>
    <n v="-8"/>
    <x v="0"/>
    <x v="3"/>
    <x v="6"/>
    <s v="Pagamento POS"/>
  </r>
  <r>
    <s v="25000783937872"/>
    <s v="08/01/2025"/>
    <s v="10/01/2025"/>
    <s v="EUROSPIN RUSSI"/>
    <s v="EUR"/>
    <n v="-26.53"/>
    <x v="0"/>
    <x v="0"/>
    <x v="0"/>
    <s v="Pagamento POS"/>
  </r>
  <r>
    <s v="25000783917328"/>
    <s v="08/01/2025"/>
    <s v="10/01/2025"/>
    <s v="BCC RAVENNATE RUSSI"/>
    <s v="EUR"/>
    <n v="-200"/>
    <x v="0"/>
    <x v="7"/>
    <x v="7"/>
    <s v="Prelievo Sportello Self"/>
  </r>
  <r>
    <s v="25000782343985"/>
    <s v="09/01/2025"/>
    <s v="31/12/2024"/>
    <s v="CANONE DEL CONTO"/>
    <s v="EUR"/>
    <n v="-4.5"/>
    <x v="0"/>
    <x v="2"/>
    <x v="8"/>
    <s v="Canone"/>
  </r>
  <r>
    <s v="25000784510382"/>
    <s v="09/01/2025"/>
    <s v="13/01/2025"/>
    <s v="0037 - COOP RAVENNA TE RAVENNA RA"/>
    <s v="EUR"/>
    <n v="-44.58"/>
    <x v="0"/>
    <x v="0"/>
    <x v="0"/>
    <s v="Pagamento POS"/>
  </r>
  <r>
    <s v="25000783704619"/>
    <s v="09/01/2025"/>
    <s v="10/01/2025"/>
    <s v="ARCAPLANET RAVENNA"/>
    <s v="EUR"/>
    <n v="-62.25"/>
    <x v="0"/>
    <x v="0"/>
    <x v="9"/>
    <s v="Pagamento POS"/>
  </r>
  <r>
    <s v="25000784606110"/>
    <s v="10/01/2025"/>
    <s v="13/01/2025"/>
    <s v="Netflix.com Los Gatos"/>
    <s v="EUR"/>
    <n v="-18.98"/>
    <x v="0"/>
    <x v="0"/>
    <x v="10"/>
    <s v="Pagamenti OnLine"/>
  </r>
  <r>
    <s v="25000784798787"/>
    <s v="10/01/2025"/>
    <s v="13/01/2025"/>
    <s v="POSTE ITALIANE RUSSI"/>
    <s v="EUR"/>
    <n v="-89"/>
    <x v="0"/>
    <x v="2"/>
    <x v="6"/>
    <s v="Pagamento POS"/>
  </r>
  <r>
    <s v="25000788319544"/>
    <s v="13/01/2025"/>
    <s v="15/01/2025"/>
    <s v="CICLI LEGA DI LEGA AND LUGO"/>
    <s v="EUR"/>
    <n v="-100"/>
    <x v="0"/>
    <x v="8"/>
    <x v="6"/>
    <s v="Pagamento POS"/>
  </r>
  <r>
    <s v="25000789355691"/>
    <s v="14/01/2025"/>
    <s v="16/01/2025"/>
    <s v="NON SOLO PIXEL RUSSI"/>
    <s v="EUR"/>
    <n v="-8"/>
    <x v="0"/>
    <x v="8"/>
    <x v="6"/>
    <s v="Pagamento POS"/>
  </r>
  <r>
    <s v="25000789056485"/>
    <s v="14/01/2025"/>
    <s v="16/01/2025"/>
    <s v="FARMACIA SAN PANCRAZIO RUSSI"/>
    <s v="EUR"/>
    <n v="-31.8"/>
    <x v="0"/>
    <x v="9"/>
    <x v="11"/>
    <s v="Pagamento POS"/>
  </r>
  <r>
    <s v="25000790268610"/>
    <s v="15/01/2025"/>
    <s v="17/01/2025"/>
    <s v="ESSELUNGA RAVENNA RAVENNA"/>
    <s v="EUR"/>
    <n v="-38.090000000000003"/>
    <x v="0"/>
    <x v="0"/>
    <x v="0"/>
    <s v="Pagamento POS"/>
  </r>
  <r>
    <s v="25000790815134"/>
    <s v="17/01/2025"/>
    <s v="20/01/2025"/>
    <s v="SUSHI MOMA SRL FORLI'"/>
    <s v="EUR"/>
    <n v="-55.6"/>
    <x v="0"/>
    <x v="4"/>
    <x v="12"/>
    <s v="Pagamento POS"/>
  </r>
  <r>
    <s v="25000792480733"/>
    <s v="21/01/2025"/>
    <s v="21/01/2025"/>
    <s v="Satispay Europe S.A. Satispay app top-up"/>
    <s v="EUR"/>
    <n v="-12"/>
    <x v="0"/>
    <x v="5"/>
    <x v="6"/>
    <s v="Ordine permanente di addebito"/>
  </r>
  <r>
    <s v="25000794775630"/>
    <s v="21/01/2025"/>
    <s v="23/01/2025"/>
    <s v="VILLAGGIO NATURA S.R.L RUSSI"/>
    <s v="EUR"/>
    <n v="-57.35"/>
    <x v="0"/>
    <x v="0"/>
    <x v="0"/>
    <s v="Pagamento POS"/>
  </r>
  <r>
    <s v="25000795898068"/>
    <s v="22/01/2025"/>
    <s v="24/01/2025"/>
    <s v="SUPERMERCATO CONAD XX1 RUSSI"/>
    <s v="EUR"/>
    <n v="-14.86"/>
    <x v="0"/>
    <x v="0"/>
    <x v="0"/>
    <s v="Pagamento POS"/>
  </r>
  <r>
    <s v="25000798621623"/>
    <s v="26/01/2025"/>
    <s v="28/01/2025"/>
    <s v="POP PIZZA ART LUGO"/>
    <s v="EUR"/>
    <n v="-58"/>
    <x v="0"/>
    <x v="4"/>
    <x v="12"/>
    <s v="Pagamento POS"/>
  </r>
  <r>
    <s v="25000797616246"/>
    <s v="27/01/2025"/>
    <s v="27/01/2025"/>
    <s v="/FOR/BERTACCINI SIMONE RAVENNA/INV/SALA DA MICROSOFT SRL"/>
    <s v="EUR"/>
    <n v="2591.8000000000002"/>
    <x v="0"/>
    <x v="10"/>
    <x v="1"/>
    <s v="Bonifico"/>
  </r>
  <r>
    <s v="25000799891225"/>
    <s v="27/01/2025"/>
    <s v="29/01/2025"/>
    <s v="ESSELUNGA RAVENNA RAVENNA"/>
    <s v="EUR"/>
    <n v="-6.94"/>
    <x v="0"/>
    <x v="0"/>
    <x v="0"/>
    <s v="Pagamento POS"/>
  </r>
  <r>
    <s v="25000799993571"/>
    <s v="27/01/2025"/>
    <s v="29/01/2025"/>
    <s v="0037 - COOP RAVENNA TE RAVENNA RA"/>
    <s v="EUR"/>
    <n v="-21.67"/>
    <x v="0"/>
    <x v="0"/>
    <x v="0"/>
    <s v="Pagamento POS"/>
  </r>
  <r>
    <s v="25000798624467"/>
    <s v="27/01/2025"/>
    <s v="28/01/2025"/>
    <s v="ARCAPLANET RAVENNA"/>
    <s v="EUR"/>
    <n v="-54.45"/>
    <x v="0"/>
    <x v="0"/>
    <x v="9"/>
    <s v="Pagamento POS"/>
  </r>
  <r>
    <s v="25000797842211"/>
    <s v="27/01/2025"/>
    <s v="27/01/2025"/>
    <s v="MONETARIO A SIMONE BERTACCINI"/>
    <s v="EUR"/>
    <n v="-2500"/>
    <x v="1"/>
    <x v="1"/>
    <x v="1"/>
    <s v="Bonifico"/>
  </r>
  <r>
    <s v="25000800952913"/>
    <s v="28/01/2025"/>
    <s v="30/01/2025"/>
    <s v="ESSELUNGA RAVENNA RAVENNA"/>
    <s v="EUR"/>
    <n v="-20.89"/>
    <x v="0"/>
    <x v="0"/>
    <x v="0"/>
    <s v="Pagamento POS"/>
  </r>
  <r>
    <s v="25000801631478"/>
    <s v="31/01/2025"/>
    <s v="31/01/2025"/>
    <s v="STIPENDI DA Esselunga S.p.A."/>
    <s v="EUR"/>
    <n v="1478.95"/>
    <x v="0"/>
    <x v="10"/>
    <x v="1"/>
    <s v="Bonifico"/>
  </r>
  <r>
    <s v="25000802989425"/>
    <s v="31/01/2025"/>
    <s v="03/02/2025"/>
    <s v="ESSELUNGA RAVENNA RAVENNA"/>
    <s v="EUR"/>
    <n v="-79.180000000000007"/>
    <x v="0"/>
    <x v="0"/>
    <x v="0"/>
    <s v="Pagamento POS"/>
  </r>
  <r>
    <s v="25000801234171"/>
    <s v="31/01/2025"/>
    <s v="31/01/2025"/>
    <s v="BANCO BPM S.P.A. PAGAMENTO FINANZIAMENTO 01099/05633174 BANCA 05034 C/O BPVN PER RATA SCADENTE IL 31/01/2025"/>
    <s v="EUR"/>
    <n v="-881.2"/>
    <x v="0"/>
    <x v="11"/>
    <x v="13"/>
    <s v="Ordine permanente di addebito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25000832723028"/>
    <s v="01/03/2025"/>
    <s v="04/03/2025"/>
    <s v="AMAZON +18882796620"/>
    <s v="EUR"/>
    <x v="0"/>
    <n v="-43.98"/>
    <x v="0"/>
    <x v="0"/>
    <s v="Pagamenti OnLine"/>
  </r>
  <r>
    <s v="25000836375341"/>
    <s v="03/03/2025"/>
    <s v="05/03/2025"/>
    <s v="GLOBO RAVENNA RAVENNA"/>
    <s v="EUR"/>
    <x v="0"/>
    <n v="-102.63"/>
    <x v="0"/>
    <x v="1"/>
    <s v="Pagamento POS"/>
  </r>
  <r>
    <s v="25000832525082"/>
    <s v="03/03/2025"/>
    <s v="04/03/2025"/>
    <s v="ARCAPLANET RAVENNA"/>
    <s v="EUR"/>
    <x v="0"/>
    <n v="-102.55"/>
    <x v="1"/>
    <x v="2"/>
    <s v="Pagamento POS"/>
  </r>
  <r>
    <s v="25000836303557"/>
    <s v="03/03/2025"/>
    <s v="05/03/2025"/>
    <s v="TERRANOVA RAVENNA"/>
    <s v="EUR"/>
    <x v="0"/>
    <n v="-43.95"/>
    <x v="0"/>
    <x v="3"/>
    <s v="Pagamento POS"/>
  </r>
  <r>
    <m/>
    <s v="04/03/2025"/>
    <s v="04/03/2025"/>
    <s v="EDEN Viaggi Saldo Sharm"/>
    <s v="EUR"/>
    <x v="0"/>
    <n v="-1193.3"/>
    <x v="2"/>
    <x v="4"/>
    <m/>
  </r>
  <r>
    <s v="25000837929647"/>
    <s v="05/03/2025"/>
    <s v="07/03/2025"/>
    <s v="SUPERMERCATO CONAD SAN PIETRO IN"/>
    <s v="EUR"/>
    <x v="0"/>
    <n v="-52.86"/>
    <x v="1"/>
    <x v="5"/>
    <s v="Pagamento POS"/>
  </r>
  <r>
    <s v="25000836380049"/>
    <s v="05/03/2025"/>
    <s v="05/03/2025"/>
    <s v="affitto Marzo 2025 DA DELL'ORSO CARLA"/>
    <s v="EUR"/>
    <x v="0"/>
    <n v="550"/>
    <x v="3"/>
    <x v="6"/>
    <s v="Bonifico istantaneo"/>
  </r>
  <r>
    <s v="25000842546082"/>
    <s v="10/03/2025"/>
    <s v="12/03/2025"/>
    <s v="ESSELUNGA RAVENNA RAVENNA"/>
    <s v="EUR"/>
    <x v="0"/>
    <n v="-47.65"/>
    <x v="1"/>
    <x v="5"/>
    <s v="Pagamento POS"/>
  </r>
  <r>
    <s v="25000841494843"/>
    <s v="10/03/2025"/>
    <s v="11/03/2025"/>
    <s v="Netflix.com Los Gatos"/>
    <s v="EUR"/>
    <x v="0"/>
    <n v="-18.98"/>
    <x v="1"/>
    <x v="7"/>
    <s v="Pagamenti OnLine"/>
  </r>
  <r>
    <s v="25000842649824"/>
    <s v="11/03/2025"/>
    <s v="12/03/2025"/>
    <s v="TOKIO SRL POS 2 LUGO"/>
    <s v="EUR"/>
    <x v="0"/>
    <n v="-58.3"/>
    <x v="4"/>
    <x v="8"/>
    <s v="Pagamento POS"/>
  </r>
  <r>
    <s v="25000843396287"/>
    <s v="11/03/2025"/>
    <s v="13/03/2025"/>
    <s v="ESSO STAZ FUSSI SAN PANCRAZIO"/>
    <s v="EUR"/>
    <x v="0"/>
    <n v="-20"/>
    <x v="2"/>
    <x v="9"/>
    <s v="Pagamento POS"/>
  </r>
  <r>
    <s v="25000843412331"/>
    <s v="11/03/2025"/>
    <s v="13/03/2025"/>
    <s v="FUSINI SNC BAGNACAVALLO"/>
    <s v="EUR"/>
    <x v="0"/>
    <n v="-9"/>
    <x v="1"/>
    <x v="5"/>
    <s v="Pagamento POS"/>
  </r>
  <r>
    <s v="25000844698189"/>
    <s v="12/03/2025"/>
    <s v="14/03/2025"/>
    <s v="ESSELUNGA RAVENNA RAVENNA"/>
    <s v="EUR"/>
    <x v="0"/>
    <n v="-40.92"/>
    <x v="1"/>
    <x v="5"/>
    <s v="Pagamento POS"/>
  </r>
  <r>
    <s v="25000845463772"/>
    <s v="13/03/2025"/>
    <s v="17/03/2025"/>
    <s v="DECATHLON 00000537 FAENZA"/>
    <s v="EUR"/>
    <x v="0"/>
    <n v="-13.98"/>
    <x v="0"/>
    <x v="10"/>
    <s v="Pagamento POS"/>
  </r>
  <r>
    <s v="25000845712874"/>
    <s v="14/03/2025"/>
    <s v="17/03/2025"/>
    <s v="048 OBI RAVENNA"/>
    <s v="EUR"/>
    <x v="0"/>
    <n v="-51.48"/>
    <x v="1"/>
    <x v="0"/>
    <s v="Pagamento POS"/>
  </r>
  <r>
    <s v="25000845830104"/>
    <s v="14/03/2025"/>
    <s v="17/03/2025"/>
    <s v="LIDL 1348 RAVENNA"/>
    <s v="EUR"/>
    <x v="0"/>
    <n v="-39.67"/>
    <x v="1"/>
    <x v="5"/>
    <s v="Pagamento POS"/>
  </r>
  <r>
    <s v="25000846657009"/>
    <s v="15/03/2025"/>
    <s v="17/03/2025"/>
    <s v="ARCAPLANET RAVENNA"/>
    <s v="EUR"/>
    <x v="0"/>
    <n v="-105"/>
    <x v="1"/>
    <x v="2"/>
    <s v="Pagamento POS"/>
  </r>
  <r>
    <s v="25000847985898"/>
    <s v="15/03/2025"/>
    <s v="18/03/2025"/>
    <s v="TERRANOVA RAVENNA"/>
    <s v="EUR"/>
    <x v="0"/>
    <n v="-25.95"/>
    <x v="0"/>
    <x v="3"/>
    <s v="Pagamento POS"/>
  </r>
  <r>
    <s v="25000848745622"/>
    <s v="17/03/2025"/>
    <s v="19/03/2025"/>
    <s v="FARMACIA SAN PANCRAZIO RUSSI"/>
    <s v="EUR"/>
    <x v="0"/>
    <n v="-47.3"/>
    <x v="5"/>
    <x v="11"/>
    <s v="Pagamento POS"/>
  </r>
  <r>
    <s v="25000848862144"/>
    <s v="17/03/2025"/>
    <s v="19/03/2025"/>
    <s v="YONG FA RUSSI"/>
    <s v="EUR"/>
    <x v="0"/>
    <n v="-29.35"/>
    <x v="0"/>
    <x v="3"/>
    <s v="Pagamento POS"/>
  </r>
  <r>
    <s v="25000848852983"/>
    <s v="17/03/2025"/>
    <s v="19/03/2025"/>
    <s v="Z &amp; H STORE RAVENNA"/>
    <s v="EUR"/>
    <x v="0"/>
    <n v="-20.97"/>
    <x v="0"/>
    <x v="3"/>
    <s v="Pagamento POS"/>
  </r>
  <r>
    <s v="25000849845002"/>
    <s v="18/03/2025"/>
    <s v="20/03/2025"/>
    <s v="SUPERMERCATO IPERMERCA RAVENNA"/>
    <s v="EUR"/>
    <x v="0"/>
    <n v="-25.53"/>
    <x v="1"/>
    <x v="5"/>
    <s v="Pagamento POS"/>
  </r>
  <r>
    <s v="25000850777932"/>
    <s v="19/03/2025"/>
    <s v="21/03/2025"/>
    <s v="POP PIZZA ART LUGO"/>
    <s v="EUR"/>
    <x v="0"/>
    <n v="-51.5"/>
    <x v="4"/>
    <x v="8"/>
    <s v="Pagamento POS"/>
  </r>
  <r>
    <s v="25000850588874"/>
    <s v="19/03/2025"/>
    <s v="21/03/2025"/>
    <s v="ESSELUNGA RAVENNA RAVENNA"/>
    <s v="EUR"/>
    <x v="0"/>
    <n v="-30.11"/>
    <x v="1"/>
    <x v="5"/>
    <s v="Pagamento POS"/>
  </r>
  <r>
    <s v="25000850814805"/>
    <s v="19/03/2025"/>
    <s v="21/03/2025"/>
    <s v="RISTORANTE PARMA SRL RAVENNA"/>
    <s v="EUR"/>
    <x v="0"/>
    <n v="-19.399999999999999"/>
    <x v="4"/>
    <x v="8"/>
    <s v="Pagamento POS"/>
  </r>
  <r>
    <s v="25000851761683"/>
    <s v="21/03/2025"/>
    <s v="24/03/2025"/>
    <s v="ROTTERDAM PUB RUSSI"/>
    <s v="EUR"/>
    <x v="0"/>
    <n v="-23"/>
    <x v="4"/>
    <x v="8"/>
    <s v="Pagamento POS"/>
  </r>
  <r>
    <s v="25000852831826"/>
    <s v="21/03/2025"/>
    <s v="24/03/2025"/>
    <s v="MICROSOFT ROMA ROMA"/>
    <s v="EUR"/>
    <x v="0"/>
    <n v="-6.2"/>
    <x v="0"/>
    <x v="12"/>
    <s v="Pagamento POS"/>
  </r>
  <r>
    <s v="25000854660687"/>
    <s v="22/03/2025"/>
    <s v="26/03/2025"/>
    <s v="COMET RAVENNA"/>
    <s v="EUR"/>
    <x v="0"/>
    <n v="-9.99"/>
    <x v="0"/>
    <x v="13"/>
    <s v="Pagamento POS"/>
  </r>
  <r>
    <s v="25000853637576"/>
    <s v="22/03/2025"/>
    <s v="25/03/2025"/>
    <s v="ESSELUNGA RAVENNA RAVENNA"/>
    <s v="EUR"/>
    <x v="0"/>
    <n v="-1.5"/>
    <x v="1"/>
    <x v="5"/>
    <s v="Pagamento POS"/>
  </r>
  <r>
    <s v="25000853602913"/>
    <s v="23/03/2025"/>
    <s v="25/03/2025"/>
    <s v="TRATTORIA DEL RISTORO OLEGGIO"/>
    <s v="EUR"/>
    <x v="0"/>
    <n v="-35.5"/>
    <x v="4"/>
    <x v="8"/>
    <s v="Pagamento POS"/>
  </r>
  <r>
    <s v="25000853630328"/>
    <s v="23/03/2025"/>
    <s v="25/03/2025"/>
    <s v="ASPITMILANO SUD MILANO SUD"/>
    <s v="EUR"/>
    <x v="0"/>
    <n v="-21.9"/>
    <x v="2"/>
    <x v="14"/>
    <s v="Pagamento POS"/>
  </r>
  <r>
    <s v="25000853633978"/>
    <s v="23/03/2025"/>
    <s v="25/03/2025"/>
    <s v="ESSELUNGA RAVENNA RAVENNA"/>
    <s v="EUR"/>
    <x v="0"/>
    <n v="-18.72"/>
    <x v="1"/>
    <x v="5"/>
    <s v="Pagamento POS"/>
  </r>
  <r>
    <s v="25000853769011"/>
    <s v="23/03/2025"/>
    <s v="25/03/2025"/>
    <s v="GAVIO - SATAP A4 TORINO"/>
    <s v="EUR"/>
    <x v="0"/>
    <n v="-4.2"/>
    <x v="2"/>
    <x v="14"/>
    <s v="Pagamento POS"/>
  </r>
  <r>
    <s v="25000854638028"/>
    <s v="24/03/2025"/>
    <s v="26/03/2025"/>
    <s v="MXP T2 Hudson Partenze SOMMA LOMBARD"/>
    <s v="EUR"/>
    <x v="0"/>
    <n v="-8.6999999999999993"/>
    <x v="0"/>
    <x v="0"/>
    <s v="Pagamento POS"/>
  </r>
  <r>
    <s v="25000854525883"/>
    <s v="24/03/2025"/>
    <s v="26/03/2025"/>
    <s v="Bar Transiti Imb Malpe FERNO"/>
    <s v="EUR"/>
    <x v="0"/>
    <n v="-4"/>
    <x v="4"/>
    <x v="15"/>
    <s v="Pagamento POS"/>
  </r>
  <r>
    <s v="25000855373461"/>
    <s v="27/03/2025"/>
    <s v="27/03/2025"/>
    <s v="/FOR/BERTACCINI SIMONE RAVENNA/INV/SALA DA MICROSOFT SRL"/>
    <s v="EUR"/>
    <x v="0"/>
    <n v="2683.66"/>
    <x v="6"/>
    <x v="6"/>
    <s v="Bonifico"/>
  </r>
  <r>
    <s v="1277424582"/>
    <s v="30/03/2025"/>
    <s v="-"/>
    <s v="ASPITMODENA SUD MODENA SUD"/>
    <s v="EUR"/>
    <x v="0"/>
    <n v="-13.9"/>
    <x v="2"/>
    <x v="14"/>
    <s v="Pagamento POS"/>
  </r>
  <r>
    <s v="1277439881"/>
    <s v="30/03/2025"/>
    <s v="-"/>
    <s v="ASPITFAENZA FAENZA"/>
    <s v="EUR"/>
    <x v="0"/>
    <n v="-6.4"/>
    <x v="2"/>
    <x v="14"/>
    <s v="Pagamento POS"/>
  </r>
  <r>
    <s v="1277396174"/>
    <s v="30/03/2025"/>
    <s v="-"/>
    <s v="MISERStazione di Terra"/>
    <s v="EUR"/>
    <x v="0"/>
    <n v="-3.4"/>
    <x v="2"/>
    <x v="14"/>
    <s v="Pagamento POS"/>
  </r>
  <r>
    <s v="25000858255333"/>
    <s v="31/03/2025"/>
    <s v="31/03/2025"/>
    <s v="BANCO BPM S.P.A. PAGAMENTO FINANZIAMENTO 01099/05633174 BANCA 05034 C/O BPVN PER RATA SCADENTE IL 31/03/2025"/>
    <s v="EUR"/>
    <x v="0"/>
    <n v="-881.2"/>
    <x v="7"/>
    <x v="16"/>
    <s v="Ordine permanente di addebito"/>
  </r>
  <r>
    <s v="1277952741"/>
    <s v="31/03/2025"/>
    <s v="-"/>
    <s v="ATLANTIC RAVENNA RAVENNA"/>
    <s v="EUR"/>
    <x v="0"/>
    <n v="-9.9"/>
    <x v="4"/>
    <x v="15"/>
    <s v="Pagamento POS"/>
  </r>
  <r>
    <s v="1277970432"/>
    <s v="31/03/2025"/>
    <s v="-"/>
    <s v="ESSELUNGA RAVENNA RAVENNA"/>
    <s v="EUR"/>
    <x v="0"/>
    <n v="-7.19"/>
    <x v="1"/>
    <x v="5"/>
    <s v="Pagamento POS"/>
  </r>
  <r>
    <s v="1277832016"/>
    <s v="31/03/2025"/>
    <s v="-"/>
    <s v="EASYJET DNATA IN FLIGH MANCHESTER"/>
    <s v="EUR"/>
    <x v="0"/>
    <n v="-3.5"/>
    <x v="2"/>
    <x v="4"/>
    <s v="Pagamento POS"/>
  </r>
  <r>
    <s v="25000858876852"/>
    <s v="31/03/2025"/>
    <s v="31/03/2025"/>
    <s v="FT: 202550066832 202550622265C DA GESTORE DEI SERVIZI ENERGETICI - GS"/>
    <s v="EUR"/>
    <x v="0"/>
    <n v="654.45000000000005"/>
    <x v="1"/>
    <x v="17"/>
    <s v="Bonifico"/>
  </r>
  <r>
    <s v="25000858885526"/>
    <s v="31/03/2025"/>
    <s v="31/03/2025"/>
    <s v="STIPENDI DA Esselunga S.p.A."/>
    <s v="EUR"/>
    <x v="0"/>
    <n v="1191.57"/>
    <x v="6"/>
    <x v="6"/>
    <s v="Bonifico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5000863102586"/>
    <s v="01/04/2025"/>
    <s v="03/04/2025"/>
    <s v="FUSINI SNC BAGNACAVALLO"/>
    <s v="EUR"/>
    <n v="-10"/>
    <x v="0"/>
    <x v="0"/>
    <x v="0"/>
    <s v="Pagamento POS"/>
  </r>
  <r>
    <s v="25000862972058"/>
    <s v="01/04/2025"/>
    <s v="03/04/2025"/>
    <s v="BAR PASTICCERIA BABINI RUSSI"/>
    <s v="EUR"/>
    <n v="-6"/>
    <x v="0"/>
    <x v="0"/>
    <x v="0"/>
    <s v="Pagamento POS"/>
  </r>
  <r>
    <s v="25000863291842"/>
    <s v="01/04/2025"/>
    <s v="03/04/2025"/>
    <s v="ASPITFAENZA FAENZA"/>
    <s v="EUR"/>
    <n v="-3.8"/>
    <x v="0"/>
    <x v="1"/>
    <x v="1"/>
    <s v="Pagamento POS"/>
  </r>
  <r>
    <s v="25000862975098"/>
    <s v="01/04/2025"/>
    <s v="03/04/2025"/>
    <s v="Wikimedia San Francisco"/>
    <s v="EUR"/>
    <n v="-3.1"/>
    <x v="0"/>
    <x v="2"/>
    <x v="2"/>
    <s v="Pagamenti OnLine"/>
  </r>
  <r>
    <s v="25000862987206"/>
    <s v="01/04/2025"/>
    <s v="03/04/2025"/>
    <s v="FARMACIA SAN PANCRAZIO RUSSI"/>
    <s v="EUR"/>
    <n v="-1.38"/>
    <x v="0"/>
    <x v="3"/>
    <x v="3"/>
    <s v="Pagamento POS"/>
  </r>
  <r>
    <s v="25000864370756"/>
    <s v="02/04/2025"/>
    <s v="04/04/2025"/>
    <s v="NORAFOODS 1 BARCELONA"/>
    <s v="EUR"/>
    <n v="-9.35"/>
    <x v="0"/>
    <x v="4"/>
    <x v="4"/>
    <s v="Pagamento POS"/>
  </r>
  <r>
    <s v="25000862174353"/>
    <s v="02/04/2025"/>
    <s v="31/03/2025"/>
    <s v="C/C D152200534730"/>
    <s v="EUR"/>
    <n v="-8.43"/>
    <x v="0"/>
    <x v="5"/>
    <x v="5"/>
    <s v="Imposta di bollo"/>
  </r>
  <r>
    <s v="25000864171485"/>
    <s v="02/04/2025"/>
    <s v="04/04/2025"/>
    <s v="365 BARCELONA"/>
    <s v="EUR"/>
    <n v="-5.35"/>
    <x v="1"/>
    <x v="4"/>
    <x v="6"/>
    <s v="Pagamento POS"/>
  </r>
  <r>
    <s v="25000863400115"/>
    <s v="03/04/2025"/>
    <s v="03/04/2025"/>
    <s v="INVEST A SIMONE BERTACCINI"/>
    <s v="EUR"/>
    <n v="-4000"/>
    <x v="1"/>
    <x v="2"/>
    <x v="7"/>
    <s v="Bonifico"/>
  </r>
  <r>
    <s v="25000865762906"/>
    <s v="03/04/2025"/>
    <s v="07/04/2025"/>
    <s v="ESSELUNGA RAVENNA RAVENNA"/>
    <s v="EUR"/>
    <n v="-23.89"/>
    <x v="0"/>
    <x v="0"/>
    <x v="0"/>
    <s v="Pagamento POS"/>
  </r>
  <r>
    <s v="25000865602852"/>
    <s v="03/04/2025"/>
    <s v="07/04/2025"/>
    <s v="NORAFOODS 1 BARCELONA"/>
    <s v="EUR"/>
    <n v="-9.35"/>
    <x v="1"/>
    <x v="4"/>
    <x v="4"/>
    <s v="Pagamento POS"/>
  </r>
  <r>
    <s v="25000865713705"/>
    <s v="03/04/2025"/>
    <s v="07/04/2025"/>
    <s v="LA FLEK VALENCIA BARCELONA"/>
    <s v="EUR"/>
    <n v="-3.4"/>
    <x v="1"/>
    <x v="4"/>
    <x v="4"/>
    <s v="Pagamento POS"/>
  </r>
  <r>
    <s v="25000863343376"/>
    <s v="03/04/2025"/>
    <s v="03/04/2025"/>
    <s v="affitto Aprile 2025 DA CARLA DELL'ORSO"/>
    <s v="EUR"/>
    <n v="550"/>
    <x v="0"/>
    <x v="6"/>
    <x v="8"/>
    <s v="Bonifico istantaneo"/>
  </r>
  <r>
    <s v="25000863518968"/>
    <s v="04/04/2025"/>
    <s v="04/04/2025"/>
    <s v="American Express Services Europe LTD 61005 Carta Corporate"/>
    <s v="EUR"/>
    <n v="-30"/>
    <x v="1"/>
    <x v="7"/>
    <x v="9"/>
    <s v="Ordine permanente di addebito"/>
  </r>
  <r>
    <s v="25000866098427"/>
    <s v="04/04/2025"/>
    <s v="07/04/2025"/>
    <s v="VILLAGGIO NATURA S.R.L RUSSI RA"/>
    <s v="EUR"/>
    <n v="-11"/>
    <x v="0"/>
    <x v="0"/>
    <x v="0"/>
    <s v="Pagamento POS"/>
  </r>
  <r>
    <s v="25000865963050"/>
    <s v="04/04/2025"/>
    <s v="07/04/2025"/>
    <s v="NORAFOODS 1 BARCELONA"/>
    <s v="EUR"/>
    <n v="-9.35"/>
    <x v="0"/>
    <x v="4"/>
    <x v="4"/>
    <s v="Pagamento POS"/>
  </r>
  <r>
    <s v="25000864602499"/>
    <s v="04/04/2025"/>
    <s v="31/03/2025"/>
    <s v="CANONE DEL CONTO"/>
    <s v="EUR"/>
    <n v="-4.5"/>
    <x v="0"/>
    <x v="5"/>
    <x v="10"/>
    <s v="Canone"/>
  </r>
  <r>
    <s v="25000866317984"/>
    <s v="04/04/2025"/>
    <s v="07/04/2025"/>
    <s v="ASPITBOLOGNA SAN LAZZA BOLOGNA SAN L"/>
    <s v="EUR"/>
    <n v="-3.8"/>
    <x v="0"/>
    <x v="1"/>
    <x v="1"/>
    <s v="Pagamento POS"/>
  </r>
  <r>
    <s v="25000868332420"/>
    <s v="06/04/2025"/>
    <s v="08/04/2025"/>
    <s v="VEGA CARBURANTI S.P.A. LUGO"/>
    <s v="EUR"/>
    <n v="-15.01"/>
    <x v="0"/>
    <x v="1"/>
    <x v="11"/>
    <s v="Pagamento POS"/>
  </r>
  <r>
    <s v="25000866010690"/>
    <s v="06/04/2025"/>
    <s v="07/04/2025"/>
    <s v="POS 0404 LA FLEK VALENCIA"/>
    <s v="EUR"/>
    <n v="-5.6"/>
    <x v="0"/>
    <x v="4"/>
    <x v="4"/>
    <s v="Pagamento POS"/>
  </r>
  <r>
    <s v="25000870695906"/>
    <s v="08/04/2025"/>
    <s v="10/04/2025"/>
    <s v="SUPERMERCATO CONAD SAN PIETRO IN"/>
    <s v="EUR"/>
    <n v="-54.28"/>
    <x v="0"/>
    <x v="0"/>
    <x v="0"/>
    <s v="Pagamento POS"/>
  </r>
  <r>
    <s v="25000870715802"/>
    <s v="08/04/2025"/>
    <s v="10/04/2025"/>
    <s v="LORENZETTI FEDERICA RUSSI"/>
    <s v="EUR"/>
    <n v="-40"/>
    <x v="0"/>
    <x v="3"/>
    <x v="12"/>
    <s v="Pagamento POS"/>
  </r>
  <r>
    <s v="25000869400735"/>
    <s v="09/04/2025"/>
    <s v="09/04/2025"/>
    <s v="RICARICA CARTA A BERTACCINI SIMONE"/>
    <s v="EUR"/>
    <n v="-300"/>
    <x v="1"/>
    <x v="7"/>
    <x v="7"/>
    <s v="Bonifico"/>
  </r>
  <r>
    <s v="25000871715980"/>
    <s v="09/04/2025"/>
    <s v="11/04/2025"/>
    <s v="FARMACIA DELLE ERBE RAVENNA RA"/>
    <s v="EUR"/>
    <n v="-14.9"/>
    <x v="0"/>
    <x v="3"/>
    <x v="3"/>
    <s v="Pagamento POS"/>
  </r>
  <r>
    <s v="25000871838546"/>
    <s v="10/04/2025"/>
    <s v="11/04/2025"/>
    <s v="Netflix.com Los Gatos"/>
    <s v="EUR"/>
    <n v="-18.98"/>
    <x v="0"/>
    <x v="0"/>
    <x v="13"/>
    <s v="Pagamenti OnLine"/>
  </r>
  <r>
    <s v="25000870241869"/>
    <s v="10/04/2025"/>
    <s v="10/04/2025"/>
    <s v="STIPENDI DA Esselunga S.p.A."/>
    <s v="EUR"/>
    <n v="322.83999999999997"/>
    <x v="0"/>
    <x v="8"/>
    <x v="8"/>
    <s v="Bonifico"/>
  </r>
  <r>
    <s v="25000871668385"/>
    <s v="11/04/2025"/>
    <s v="11/04/2025"/>
    <s v="Pagamento pagoPA effettuato con successo"/>
    <s v="EUR"/>
    <n v="-124.8"/>
    <x v="0"/>
    <x v="5"/>
    <x v="5"/>
    <s v="PagoPA"/>
  </r>
  <r>
    <s v="25000872561244"/>
    <s v="11/04/2025"/>
    <s v="14/04/2025"/>
    <s v="ARCAPLANET RAVENNA"/>
    <s v="EUR"/>
    <n v="-94.2"/>
    <x v="0"/>
    <x v="0"/>
    <x v="14"/>
    <s v="Pagamento POS"/>
  </r>
  <r>
    <s v="25000873801350"/>
    <s v="11/04/2025"/>
    <s v="14/04/2025"/>
    <s v="ENRI'S DI MONTANARI EN RUSSI"/>
    <s v="EUR"/>
    <n v="-60"/>
    <x v="0"/>
    <x v="4"/>
    <x v="4"/>
    <s v="Pagamento POS"/>
  </r>
  <r>
    <s v="25000872957066"/>
    <s v="11/04/2025"/>
    <s v="14/04/2025"/>
    <s v="ESSELUNGA RAVENNA RAVENNA"/>
    <s v="EUR"/>
    <n v="-32.979999999999997"/>
    <x v="0"/>
    <x v="0"/>
    <x v="0"/>
    <s v="Pagamento POS"/>
  </r>
  <r>
    <s v="25000874972586"/>
    <s v="12/04/2025"/>
    <s v="15/04/2025"/>
    <s v="048 OBI RAVENNA"/>
    <s v="EUR"/>
    <n v="-36.4"/>
    <x v="0"/>
    <x v="0"/>
    <x v="7"/>
    <s v="Pagamento POS"/>
  </r>
  <r>
    <s v="25000875108150"/>
    <s v="12/04/2025"/>
    <s v="15/04/2025"/>
    <s v="BRICOMAN ITALIA RAVENNA"/>
    <s v="EUR"/>
    <n v="-33.4"/>
    <x v="0"/>
    <x v="0"/>
    <x v="15"/>
    <s v="Pagamento POS"/>
  </r>
  <r>
    <s v="25000873532939"/>
    <s v="14/04/2025"/>
    <s v="14/04/2025"/>
    <s v="ITALY DA CITIITMX URI 15002603001078 DA ITALY"/>
    <s v="EUR"/>
    <n v="1127.82"/>
    <x v="1"/>
    <x v="9"/>
    <x v="8"/>
    <s v="Bonifico"/>
  </r>
  <r>
    <s v="25000874338079"/>
    <s v="15/04/2025"/>
    <s v="15/04/2025"/>
    <s v="Engie Italia S.p.A. Bolletta n. MM.2025.1138965.0"/>
    <s v="EUR"/>
    <n v="-221.04"/>
    <x v="0"/>
    <x v="0"/>
    <x v="16"/>
    <s v="Ordine permanente di addebito"/>
  </r>
  <r>
    <s v="25000877938549"/>
    <s v="16/04/2025"/>
    <s v="18/04/2025"/>
    <s v="ESSELUNGA RAVENNA RAVENNA"/>
    <s v="EUR"/>
    <n v="-62.53"/>
    <x v="0"/>
    <x v="0"/>
    <x v="0"/>
    <s v="Pagamento POS"/>
  </r>
  <r>
    <s v="25000879164267"/>
    <s v="18/04/2025"/>
    <s v="22/04/2025"/>
    <s v="SUPERMERCATO CONAD SAN PIETRO IN"/>
    <s v="EUR"/>
    <n v="-28.86"/>
    <x v="0"/>
    <x v="0"/>
    <x v="0"/>
    <s v="Pagamento POS"/>
  </r>
  <r>
    <s v="25000879204097"/>
    <s v="18/04/2025"/>
    <s v="22/04/2025"/>
    <s v="ATOMICO16 RAVENNA"/>
    <s v="EUR"/>
    <n v="-14.5"/>
    <x v="0"/>
    <x v="4"/>
    <x v="4"/>
    <s v="Pagamento POS"/>
  </r>
  <r>
    <s v="25000882357072"/>
    <s v="22/04/2025"/>
    <s v="24/04/2025"/>
    <s v="FARMACIA SAN PANCRAZIO RUSSI"/>
    <s v="EUR"/>
    <n v="-30.5"/>
    <x v="0"/>
    <x v="3"/>
    <x v="3"/>
    <s v="Pagamento POS"/>
  </r>
  <r>
    <s v="25000883100329"/>
    <s v="23/04/2025"/>
    <s v="28/04/2025"/>
    <s v="048 OBI RAVENNA"/>
    <s v="EUR"/>
    <n v="-15.85"/>
    <x v="0"/>
    <x v="0"/>
    <x v="7"/>
    <s v="Pagamento POS"/>
  </r>
  <r>
    <s v="25000883199267"/>
    <s v="23/04/2025"/>
    <s v="28/04/2025"/>
    <s v="AUSL ROMAGNA RA0112 RAVENNA"/>
    <s v="EUR"/>
    <n v="-13.8"/>
    <x v="0"/>
    <x v="3"/>
    <x v="17"/>
    <s v="Pagamento POS"/>
  </r>
  <r>
    <s v="25000883744303"/>
    <s v="24/04/2025"/>
    <s v="28/04/2025"/>
    <s v="YONG FA RUSSI"/>
    <s v="EUR"/>
    <n v="-38.5"/>
    <x v="0"/>
    <x v="10"/>
    <x v="18"/>
    <s v="Pagamento POS"/>
  </r>
  <r>
    <s v="25000883896803"/>
    <s v="24/04/2025"/>
    <s v="28/04/2025"/>
    <s v="ESSELUNGA RAVENNA RAVENNA"/>
    <s v="EUR"/>
    <n v="-21.83"/>
    <x v="0"/>
    <x v="0"/>
    <x v="0"/>
    <s v="Pagamento POS"/>
  </r>
  <r>
    <s v="25000882209938"/>
    <s v="24/04/2025"/>
    <s v="24/04/2025"/>
    <s v="/FOR/BERTACCINI SIMONE RAVENNA/INV/SALA DA MICROSOFT SRL"/>
    <s v="EUR"/>
    <n v="2644.16"/>
    <x v="0"/>
    <x v="8"/>
    <x v="8"/>
    <s v="Bonifico"/>
  </r>
  <r>
    <s v="25000882601528"/>
    <s v="24/04/2025"/>
    <s v="24/04/2025"/>
    <s v="DISINVESTIMENTO 25126BC8-253E-44DE-9D9C-0A5AF465912A DA MFM INVESTMENT ITALIAN BRANCH"/>
    <s v="EUR"/>
    <n v="5813.61"/>
    <x v="1"/>
    <x v="11"/>
    <x v="8"/>
    <s v="Bonifico"/>
  </r>
  <r>
    <s v="25000884234263"/>
    <s v="25/04/2025"/>
    <s v="28/04/2025"/>
    <s v="IGINI SUSHI SAN LAZZARO D"/>
    <s v="EUR"/>
    <n v="-88"/>
    <x v="0"/>
    <x v="4"/>
    <x v="4"/>
    <s v="Pagamento POS"/>
  </r>
  <r>
    <s v="25000884186938"/>
    <s v="25/04/2025"/>
    <s v="28/04/2025"/>
    <s v="SPORT NATION BO SRL SAN LAZZARO D"/>
    <s v="EUR"/>
    <n v="-73"/>
    <x v="0"/>
    <x v="3"/>
    <x v="19"/>
    <s v="Pagamento POS"/>
  </r>
  <r>
    <s v="25000883941230"/>
    <s v="25/04/2025"/>
    <s v="28/04/2025"/>
    <s v="ASPITBOLOGNA SAN LAZZA BOLOGNA SAN L"/>
    <s v="EUR"/>
    <n v="-3.8"/>
    <x v="0"/>
    <x v="1"/>
    <x v="1"/>
    <s v="Pagamento POS"/>
  </r>
  <r>
    <s v="25000883956441"/>
    <s v="25/04/2025"/>
    <s v="28/04/2025"/>
    <s v="ASPITFERRARA SUD FERRARA SUD"/>
    <s v="EUR"/>
    <n v="-3.1"/>
    <x v="0"/>
    <x v="1"/>
    <x v="1"/>
    <s v="Pagamento POS"/>
  </r>
  <r>
    <s v="25000885830025"/>
    <s v="26/04/2025"/>
    <s v="29/04/2025"/>
    <s v="BRICOMAN ITALIA RAVENNA"/>
    <s v="EUR"/>
    <n v="-47.25"/>
    <x v="0"/>
    <x v="0"/>
    <x v="15"/>
    <s v="Pagamento POS"/>
  </r>
  <r>
    <s v="25000885825103"/>
    <s v="27/04/2025"/>
    <s v="29/04/2025"/>
    <s v="BRICOMAN ITALIA RAVENNA"/>
    <s v="EUR"/>
    <n v="-11"/>
    <x v="0"/>
    <x v="0"/>
    <x v="15"/>
    <s v="Pagamento POS"/>
  </r>
  <r>
    <s v="25000887436362"/>
    <s v="28/04/2025"/>
    <s v="30/04/2025"/>
    <s v="048 OBI RAVENNA"/>
    <s v="EUR"/>
    <n v="-56.25"/>
    <x v="0"/>
    <x v="0"/>
    <x v="7"/>
    <s v="Pagamento POS"/>
  </r>
  <r>
    <s v="25000887255172"/>
    <s v="28/04/2025"/>
    <s v="30/04/2025"/>
    <s v="ESSELUNGA RAVENNA RAVENNA"/>
    <s v="EUR"/>
    <n v="-10.06"/>
    <x v="0"/>
    <x v="0"/>
    <x v="0"/>
    <s v="Pagamento POS"/>
  </r>
  <r>
    <s v="25000887986134"/>
    <s v="29/04/2025"/>
    <s v="02/05/2025"/>
    <s v="Z &amp; H STORE RAVENNA"/>
    <s v="EUR"/>
    <n v="-45.37"/>
    <x v="0"/>
    <x v="10"/>
    <x v="18"/>
    <s v="Pagamento POS"/>
  </r>
  <r>
    <s v="25000888105771"/>
    <s v="29/04/2025"/>
    <s v="02/05/2025"/>
    <s v="RAVENNA TRENTATRE RAVENNA"/>
    <s v="EUR"/>
    <n v="-29.5"/>
    <x v="0"/>
    <x v="3"/>
    <x v="17"/>
    <s v="Pagamento POS"/>
  </r>
  <r>
    <s v="25000888049272"/>
    <s v="29/04/2025"/>
    <s v="02/05/2025"/>
    <s v="ZANNONI FERRAMENTA RUSSI"/>
    <s v="EUR"/>
    <n v="-14.5"/>
    <x v="0"/>
    <x v="0"/>
    <x v="15"/>
    <s v="Pagamento POS"/>
  </r>
  <r>
    <s v="25000886937811"/>
    <s v="30/04/2025"/>
    <s v="30/04/2025"/>
    <s v="BANCO BPM S.P.A. PAGAMENTO FINANZIAMENTO 01099/05633174 BANCA 05034 C/O BPVN PER RATA SCADENTE IL 30/04/2025"/>
    <s v="EUR"/>
    <n v="-881.2"/>
    <x v="0"/>
    <x v="12"/>
    <x v="20"/>
    <s v="Ordine permanente di addebito"/>
  </r>
  <r>
    <s v="25000888020303"/>
    <s v="30/04/2025"/>
    <s v="02/05/2025"/>
    <s v="ARCAPLANET RAVENNA"/>
    <s v="EUR"/>
    <n v="-100.55"/>
    <x v="0"/>
    <x v="0"/>
    <x v="14"/>
    <s v="Pagamento POS"/>
  </r>
  <r>
    <s v="25000889104599"/>
    <s v="30/04/2025"/>
    <s v="02/05/2025"/>
    <s v="ESSELUNGA RAVENNA RAVENNA"/>
    <s v="EUR"/>
    <n v="-38.619999999999997"/>
    <x v="0"/>
    <x v="0"/>
    <x v="0"/>
    <s v="Pagamento POS"/>
  </r>
  <r>
    <s v="25000887075894"/>
    <s v="30/04/2025"/>
    <s v="30/04/2025"/>
    <s v="STIPENDI DA Esselunga S.p.A."/>
    <s v="EUR"/>
    <n v="1137.74"/>
    <x v="0"/>
    <x v="8"/>
    <x v="8"/>
    <s v="Bonifico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25001016235985"/>
    <s v="01/09/2025"/>
    <s v="03/09/2025"/>
    <s v="Hotel Arnarstapi Borgarnes"/>
    <s v="EUR"/>
    <n v="-28.81"/>
    <x v="0"/>
    <x v="0"/>
    <x v="0"/>
    <s v="Pagamento POS"/>
    <s v=""/>
  </r>
  <r>
    <s v="25001016184637"/>
    <s v="01/09/2025"/>
    <s v="03/09/2025"/>
    <s v="Lukkutangi ehf. Reykjavik"/>
    <s v="EUR"/>
    <n v="-6.5"/>
    <x v="0"/>
    <x v="0"/>
    <x v="1"/>
    <s v="Pagamento POS"/>
    <s v=""/>
  </r>
  <r>
    <s v="25001016236002"/>
    <s v="01/09/2025"/>
    <s v="03/09/2025"/>
    <s v="Grundarfjardarbaer WC GRUNDARFJORDU"/>
    <s v="EUR"/>
    <n v="-2.16"/>
    <x v="0"/>
    <x v="1"/>
    <x v="2"/>
    <s v="Pagamento POS"/>
    <s v=""/>
  </r>
  <r>
    <s v="25001016235992"/>
    <s v="01/09/2025"/>
    <s v="03/09/2025"/>
    <s v="Grundarfjardarbaer WC GRUNDARFJORDU"/>
    <s v="EUR"/>
    <n v="-2.16"/>
    <x v="0"/>
    <x v="1"/>
    <x v="2"/>
    <s v="Pagamento POS"/>
    <s v=""/>
  </r>
  <r>
    <s v="25001017085706"/>
    <s v="02/09/2025"/>
    <s v="04/09/2025"/>
    <s v="Harpa tonlistar og rad Reykjavik"/>
    <s v="EUR"/>
    <n v="-1.44"/>
    <x v="0"/>
    <x v="2"/>
    <x v="3"/>
    <s v="Pagamento POS"/>
    <s v=""/>
  </r>
  <r>
    <s v="25001016453634"/>
    <s v="04/09/2025"/>
    <s v="04/09/2025"/>
    <s v="American Express Services Europe LTD 61005 Carta Corporate"/>
    <s v="EUR"/>
    <n v="-3065.52"/>
    <x v="0"/>
    <x v="3"/>
    <x v="4"/>
    <s v="Ordine permanente di addebito"/>
    <s v=""/>
  </r>
  <r>
    <s v="25001018869956"/>
    <s v="04/09/2025"/>
    <s v="08/09/2025"/>
    <s v="Penninn - Leifsstod Reykjanesbaer"/>
    <s v="EUR"/>
    <n v="-6.96"/>
    <x v="0"/>
    <x v="4"/>
    <x v="2"/>
    <s v="Pagamento POS"/>
    <s v=""/>
  </r>
  <r>
    <s v="25001019407203"/>
    <s v="05/09/2025"/>
    <s v="08/09/2025"/>
    <s v="SUPERMERCATO CONAD SAN PIETRO IN"/>
    <s v="EUR"/>
    <n v="-7.11"/>
    <x v="0"/>
    <x v="5"/>
    <x v="5"/>
    <s v="Pagamento POS"/>
    <s v=""/>
  </r>
  <r>
    <s v="25001021696430"/>
    <s v="06/09/2025"/>
    <s v="09/09/2025"/>
    <s v="ARCAPLANET RAVENNA"/>
    <s v="EUR"/>
    <n v="-77.349999999999994"/>
    <x v="0"/>
    <x v="5"/>
    <x v="6"/>
    <s v="Pagamento POS"/>
    <s v=""/>
  </r>
  <r>
    <s v="25001021509192"/>
    <s v="07/09/2025"/>
    <s v="09/09/2025"/>
    <s v="ASPITFAENZA FAENZA"/>
    <s v="EUR"/>
    <n v="-2.1"/>
    <x v="0"/>
    <x v="4"/>
    <x v="2"/>
    <s v="Pagamento POS"/>
    <s v=""/>
  </r>
  <r>
    <s v="25001022974075"/>
    <s v="08/09/2025"/>
    <s v="10/09/2025"/>
    <s v="AUSL ROMAGNA-RA0001 RAVENNA"/>
    <s v="EUR"/>
    <n v="-45.9"/>
    <x v="0"/>
    <x v="6"/>
    <x v="7"/>
    <s v="Pagamento POS"/>
    <s v=""/>
  </r>
  <r>
    <s v="25001020293725"/>
    <s v="08/09/2025"/>
    <s v="08/09/2025"/>
    <s v="affitto settembre 2025 DA DELL'ORSO CARLA"/>
    <s v="EUR"/>
    <n v="550"/>
    <x v="0"/>
    <x v="7"/>
    <x v="8"/>
    <s v="Bonifico"/>
    <s v=""/>
  </r>
  <r>
    <s v="25001024019103"/>
    <s v="09/09/2025"/>
    <s v="11/09/2025"/>
    <s v="NETFLIX.COM 18665797172"/>
    <s v="EUR"/>
    <n v="-18.98"/>
    <x v="0"/>
    <x v="4"/>
    <x v="2"/>
    <s v="Pagamenti OnLine"/>
    <s v=""/>
  </r>
  <r>
    <s v="25001024107646"/>
    <s v="09/09/2025"/>
    <s v="11/09/2025"/>
    <s v="048 OBI RAVENNA"/>
    <s v="EUR"/>
    <n v="-6.82"/>
    <x v="0"/>
    <x v="5"/>
    <x v="2"/>
    <s v="Pagamento POS"/>
    <s v=""/>
  </r>
  <r>
    <s v="25001024120763"/>
    <s v="09/09/2025"/>
    <s v="11/09/2025"/>
    <s v="BAR PASTICCERIA BABINI RUSSI"/>
    <s v="EUR"/>
    <n v="-6"/>
    <x v="0"/>
    <x v="8"/>
    <x v="9"/>
    <s v="Pagamento POS"/>
    <s v=""/>
  </r>
  <r>
    <s v="25001024094730"/>
    <s v="09/09/2025"/>
    <s v="11/09/2025"/>
    <s v="CASSA AUTOMATICA SPIK RAVENNA"/>
    <s v="EUR"/>
    <n v="-0.6"/>
    <x v="0"/>
    <x v="4"/>
    <x v="2"/>
    <s v="Pagamento POS"/>
    <s v=""/>
  </r>
  <r>
    <s v="25001023184888"/>
    <s v="10/09/2025"/>
    <s v="10/09/2025"/>
    <s v="INVESTIMENTI A SIMONE BERTACCINI"/>
    <s v="EUR"/>
    <n v="-4000"/>
    <x v="1"/>
    <x v="3"/>
    <x v="10"/>
    <s v="Bonifico"/>
    <s v=""/>
  </r>
  <r>
    <s v="25001026560394"/>
    <s v="10/09/2025"/>
    <s v="15/09/2025"/>
    <s v="Amazon.it www.amazon.it"/>
    <s v="EUR"/>
    <n v="-46.02"/>
    <x v="0"/>
    <x v="1"/>
    <x v="2"/>
    <s v="Pagamenti OnLine"/>
    <s v=""/>
  </r>
  <r>
    <s v="25001025453175"/>
    <s v="10/09/2025"/>
    <s v="12/09/2025"/>
    <s v="SUPERMERCATO CONAD XX1 RUSSI"/>
    <s v="EUR"/>
    <n v="-30.56"/>
    <x v="0"/>
    <x v="5"/>
    <x v="5"/>
    <s v="Pagamento POS"/>
    <s v=""/>
  </r>
  <r>
    <s v="25001023984373"/>
    <s v="11/09/2025"/>
    <s v="11/09/2025"/>
    <s v="ITALY DA CITIITMX URI 15002637731078 DA ITALY"/>
    <s v="EUR"/>
    <n v="30"/>
    <x v="0"/>
    <x v="9"/>
    <x v="8"/>
    <s v="Bonifico"/>
    <s v=""/>
  </r>
  <r>
    <s v="25001026602978"/>
    <s v="12/09/2025"/>
    <s v="15/09/2025"/>
    <s v="SUPERMERCATO CONAD SAN PIETRO IN"/>
    <s v="EUR"/>
    <n v="-10.53"/>
    <x v="0"/>
    <x v="5"/>
    <x v="5"/>
    <s v="Pagamento POS"/>
    <s v=""/>
  </r>
  <r>
    <s v="25001028787988"/>
    <s v="13/09/2025"/>
    <s v="16/09/2025"/>
    <s v="ESSELUNGA RAVENNA RAVENNA"/>
    <s v="EUR"/>
    <n v="-3.95"/>
    <x v="0"/>
    <x v="5"/>
    <x v="5"/>
    <s v="Pagamento POS"/>
    <s v=""/>
  </r>
  <r>
    <s v="25001027637160"/>
    <s v="13/09/2025"/>
    <s v="15/09/2025"/>
    <s v="SUPERMERCATO CONAD SAN PIETRO IN"/>
    <s v="EUR"/>
    <n v="-1.68"/>
    <x v="0"/>
    <x v="5"/>
    <x v="5"/>
    <s v="Pagamento POS"/>
    <s v=""/>
  </r>
  <r>
    <s v="25001029661216"/>
    <s v="15/09/2025"/>
    <s v="17/09/2025"/>
    <s v="ARCAPLANET RAVENNA"/>
    <s v="EUR"/>
    <n v="-183.4"/>
    <x v="0"/>
    <x v="5"/>
    <x v="6"/>
    <s v="Pagamento POS"/>
    <s v=""/>
  </r>
  <r>
    <s v="25001029671701"/>
    <s v="15/09/2025"/>
    <s v="17/09/2025"/>
    <s v="RISPARMIO CASA RAVENNA RAVENNA"/>
    <s v="EUR"/>
    <n v="-59.17"/>
    <x v="0"/>
    <x v="5"/>
    <x v="2"/>
    <s v="Pagamento POS"/>
    <s v=""/>
  </r>
  <r>
    <s v="25001028024107"/>
    <s v="16/09/2025"/>
    <s v="16/09/2025"/>
    <s v="Satispay Europe S.A. Ricarica dell'app Satispay"/>
    <s v="EUR"/>
    <n v="-28"/>
    <x v="0"/>
    <x v="3"/>
    <x v="2"/>
    <s v="Ordine permanente di addebito"/>
    <s v=""/>
  </r>
  <r>
    <s v="25001031575657"/>
    <s v="17/09/2025"/>
    <s v="19/09/2025"/>
    <s v="FARMACIA DELLE ERBE RAVENNA"/>
    <s v="EUR"/>
    <n v="-35"/>
    <x v="0"/>
    <x v="6"/>
    <x v="11"/>
    <s v="Pagamento POS"/>
    <s v=""/>
  </r>
  <r>
    <s v="25001032651231"/>
    <s v="18/09/2025"/>
    <s v="22/09/2025"/>
    <s v="BAR PASTICCERIA BABINI RUSSI"/>
    <s v="EUR"/>
    <n v="-33.4"/>
    <x v="0"/>
    <x v="8"/>
    <x v="9"/>
    <s v="Pagamento POS"/>
    <s v=""/>
  </r>
  <r>
    <s v="25001032678638"/>
    <s v="18/09/2025"/>
    <s v="22/09/2025"/>
    <s v="LA PIADINA DI MIRCA RAVENNA"/>
    <s v="EUR"/>
    <n v="-7.55"/>
    <x v="0"/>
    <x v="8"/>
    <x v="12"/>
    <s v="Pagamento POS"/>
    <s v=""/>
  </r>
  <r>
    <s v="25001032957123"/>
    <s v="19/09/2025"/>
    <s v="22/09/2025"/>
    <s v="MIC RAMEN FORLI' FORLI'"/>
    <s v="EUR"/>
    <n v="-36.799999999999997"/>
    <x v="0"/>
    <x v="8"/>
    <x v="12"/>
    <s v="Pagamento POS"/>
    <s v=""/>
  </r>
  <r>
    <s v="25001035073322"/>
    <s v="20/09/2025"/>
    <s v="23/09/2025"/>
    <s v="ESSELUNGA RAVENNA RAVENNA"/>
    <s v="EUR"/>
    <n v="-8.73"/>
    <x v="0"/>
    <x v="5"/>
    <x v="5"/>
    <s v="Pagamento POS"/>
    <s v=""/>
  </r>
  <r>
    <s v="25001035070857"/>
    <s v="21/09/2025"/>
    <s v="23/09/2025"/>
    <s v="ESSELUNGA RAVENNA RAVENNA"/>
    <s v="EUR"/>
    <n v="-14.59"/>
    <x v="0"/>
    <x v="5"/>
    <x v="5"/>
    <s v="Pagamento POS"/>
    <s v=""/>
  </r>
  <r>
    <s v="25001034199455"/>
    <s v="22/09/2025"/>
    <s v="22/09/2025"/>
    <s v="INVESTIMENTI A SIMONE BERTACCINI"/>
    <s v="EUR"/>
    <n v="-5000"/>
    <x v="1"/>
    <x v="3"/>
    <x v="10"/>
    <s v="Bonifico"/>
    <s v=""/>
  </r>
  <r>
    <s v="25001035977727"/>
    <s v="22/09/2025"/>
    <s v="24/09/2025"/>
    <s v="AMY SUSHI SRL ROMA"/>
    <s v="EUR"/>
    <n v="-14.4"/>
    <x v="0"/>
    <x v="8"/>
    <x v="12"/>
    <s v="Pagamento POS"/>
    <s v=""/>
  </r>
  <r>
    <s v="25001036194150"/>
    <s v="22/09/2025"/>
    <s v="24/09/2025"/>
    <s v="MICROSOFT ROMA ROMA"/>
    <s v="EUR"/>
    <n v="-6.2"/>
    <x v="0"/>
    <x v="1"/>
    <x v="13"/>
    <s v="Pagamento POS"/>
    <s v=""/>
  </r>
  <r>
    <s v="25001038859480"/>
    <s v="23/09/2025"/>
    <s v="29/09/2025"/>
    <s v="AMZN Mktp IT 800-279-6620"/>
    <s v="EUR"/>
    <n v="-102.64"/>
    <x v="0"/>
    <x v="1"/>
    <x v="2"/>
    <s v="Pagamenti OnLine"/>
    <s v=""/>
  </r>
  <r>
    <s v="25001034413077"/>
    <s v="23/09/2025"/>
    <s v="23/09/2025"/>
    <s v="Satispay Europe S.A. Ricarica dell'app Satispay"/>
    <s v="EUR"/>
    <n v="-23.4"/>
    <x v="0"/>
    <x v="3"/>
    <x v="2"/>
    <s v="Ordine permanente di addebito"/>
    <s v=""/>
  </r>
  <r>
    <s v="25001036998089"/>
    <s v="23/09/2025"/>
    <s v="25/09/2025"/>
    <s v="MICROSOFT ROMA ROMA"/>
    <s v="EUR"/>
    <n v="-6.2"/>
    <x v="0"/>
    <x v="1"/>
    <x v="13"/>
    <s v="Pagamento POS"/>
    <s v=""/>
  </r>
  <r>
    <s v="25001038161210"/>
    <s v="24/09/2025"/>
    <s v="26/09/2025"/>
    <s v="LIDL 357 RAVENNA"/>
    <s v="EUR"/>
    <n v="-56.18"/>
    <x v="0"/>
    <x v="5"/>
    <x v="5"/>
    <s v="Pagamento POS"/>
    <s v=""/>
  </r>
  <r>
    <s v="25001038835934"/>
    <s v="25/09/2025"/>
    <s v="29/09/2025"/>
    <s v="ASPITRAVENNA RAVENNA"/>
    <s v="EUR"/>
    <n v="-6.3"/>
    <x v="0"/>
    <x v="0"/>
    <x v="14"/>
    <s v="Pagamento POS"/>
    <s v=""/>
  </r>
  <r>
    <s v="25001038919707"/>
    <s v="25/09/2025"/>
    <s v="29/09/2025"/>
    <s v="ASPITBOLOGNA ARCOVEGGI BOLOGNA ARCOV"/>
    <s v="EUR"/>
    <n v="-4.5"/>
    <x v="0"/>
    <x v="0"/>
    <x v="14"/>
    <s v="Pagamento POS"/>
    <s v=""/>
  </r>
  <r>
    <s v="25001038368816"/>
    <s v="26/09/2025"/>
    <s v="26/09/2025"/>
    <s v="INVESTIMENTI A SIMONE BERTACCINI"/>
    <s v="EUR"/>
    <n v="-3000"/>
    <x v="1"/>
    <x v="3"/>
    <x v="10"/>
    <s v="Bonifico"/>
    <s v=""/>
  </r>
  <r>
    <s v="25001039225475"/>
    <s v="26/09/2025"/>
    <s v="29/09/2025"/>
    <s v="CASA DI CURA DOMUS NOV RAVENNA"/>
    <s v="EUR"/>
    <n v="-24.95"/>
    <x v="0"/>
    <x v="6"/>
    <x v="15"/>
    <s v="Pagamento POS"/>
    <s v=""/>
  </r>
  <r>
    <s v="25001039304575"/>
    <s v="26/09/2025"/>
    <s v="29/09/2025"/>
    <s v="DOMUS NOVA RAVENNA"/>
    <s v="EUR"/>
    <n v="-1"/>
    <x v="0"/>
    <x v="0"/>
    <x v="1"/>
    <s v="Pagamento POS"/>
    <s v=""/>
  </r>
  <r>
    <s v="25001038101542"/>
    <s v="26/09/2025"/>
    <s v="26/09/2025"/>
    <s v="/FOR/BERTACCINI SIMONE RAVENNA/INV/SALA DA MICROSOFT SRL"/>
    <s v="EUR"/>
    <n v="7824.67"/>
    <x v="0"/>
    <x v="10"/>
    <x v="8"/>
    <s v="Bonifico"/>
    <s v=""/>
  </r>
  <r>
    <s v="25001040132550"/>
    <s v="27/09/2025"/>
    <s v="29/09/2025"/>
    <s v="CONAD SUPERSTORE GALIL RAVENNA"/>
    <s v="EUR"/>
    <n v="-13.41"/>
    <x v="0"/>
    <x v="5"/>
    <x v="5"/>
    <s v="Pagamento POS"/>
    <s v=""/>
  </r>
  <r>
    <s v="25001042708307"/>
    <s v="29/09/2025"/>
    <s v="01/10/2025"/>
    <s v="048 OBI RAVENNA"/>
    <s v="EUR"/>
    <n v="-62.6"/>
    <x v="0"/>
    <x v="5"/>
    <x v="2"/>
    <s v="Pagamento POS"/>
    <s v=""/>
  </r>
  <r>
    <s v="25001044452841"/>
    <s v="29/09/2025"/>
    <s v="02/10/2025"/>
    <s v="PAYPAL *fabiomoroni199 35314369001"/>
    <s v="EUR"/>
    <n v="-7.5"/>
    <x v="0"/>
    <x v="3"/>
    <x v="2"/>
    <s v="Pagamenti OnLine"/>
    <s v=""/>
  </r>
  <r>
    <s v="25001040800923"/>
    <s v="30/09/2025"/>
    <s v="30/09/2025"/>
    <s v="BANCO BPM S.P.A. PAGAMENTO FINANZIAMENTO 01099/05633174 BANCA 05034 C/O BPVN PER RATA SCADENTE IL 30/09/2025"/>
    <s v="EUR"/>
    <n v="-881.2"/>
    <x v="0"/>
    <x v="11"/>
    <x v="16"/>
    <s v="Ordine permanente di addebito"/>
    <s v=""/>
  </r>
  <r>
    <s v="25001044615565"/>
    <s v="30/09/2025"/>
    <s v="02/10/2025"/>
    <s v="FARMACIA SAN PANCRAZIO RUSSI"/>
    <s v="EUR"/>
    <n v="-42.5"/>
    <x v="0"/>
    <x v="6"/>
    <x v="11"/>
    <s v="Pagamento POS"/>
    <s v=""/>
  </r>
  <r>
    <s v="25001044169324"/>
    <s v="30/09/2025"/>
    <s v="02/10/2025"/>
    <s v="FUSINI SNC BAGNACAVALLO"/>
    <s v="EUR"/>
    <n v="-14.8"/>
    <x v="0"/>
    <x v="5"/>
    <x v="5"/>
    <s v="Pagamento POS"/>
    <s v=""/>
  </r>
  <r>
    <s v="25001041337308"/>
    <s v="30/09/2025"/>
    <s v="30/09/2025"/>
    <s v="GSE CONV. E07E20122307 DI PASTORELLI CHIARA DOCUMENTI 202552074686 DA GESTORE DEI SERVIZI ENERGETICI - GS"/>
    <s v="EUR"/>
    <n v="444.9"/>
    <x v="0"/>
    <x v="12"/>
    <x v="8"/>
    <s v="Bonifico"/>
    <s v=""/>
  </r>
  <r>
    <s v="25001041331724"/>
    <s v="30/09/2025"/>
    <s v="30/09/2025"/>
    <s v="STIPENDI DA Esselunga S.p.A."/>
    <s v="EUR"/>
    <n v="1154.82"/>
    <x v="0"/>
    <x v="10"/>
    <x v="8"/>
    <s v="Bonifico"/>
    <s v="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25001045843514"/>
    <s v="01/10/2025"/>
    <s v="03/10/2025"/>
    <s v="SP THE BOOK ULTIMATE LONDON"/>
    <s v="EUR"/>
    <n v="-90"/>
    <x v="0"/>
    <x v="0"/>
    <x v="0"/>
    <s v="Pagamenti OnLine"/>
    <s v=""/>
  </r>
  <r>
    <s v="25001046879956"/>
    <s v="02/10/2025"/>
    <s v="06/10/2025"/>
    <s v="ARTEDILE SRLS COLONNIN RUSSI"/>
    <s v="EUR"/>
    <n v="-30"/>
    <x v="0"/>
    <x v="1"/>
    <x v="1"/>
    <s v="Pagamento POS"/>
    <s v=""/>
  </r>
  <r>
    <s v="25001045152766"/>
    <s v="02/10/2025"/>
    <s v="30/09/2025"/>
    <s v="C/C D152200534730"/>
    <s v="EUR"/>
    <n v="-8.6199999999999992"/>
    <x v="0"/>
    <x v="2"/>
    <x v="2"/>
    <s v="Imposta di bollo"/>
    <s v=""/>
  </r>
  <r>
    <s v="25001047461271"/>
    <s v="03/10/2025"/>
    <s v="06/10/2025"/>
    <s v="PagoPA Banca Sella BIELLA"/>
    <s v="EUR"/>
    <n v="-172.95"/>
    <x v="0"/>
    <x v="2"/>
    <x v="3"/>
    <s v="Pagamenti OnLine"/>
    <s v=""/>
  </r>
  <r>
    <s v="25001047293110"/>
    <s v="03/10/2025"/>
    <s v="06/10/2025"/>
    <s v="ESSELUNGA SPA FORLI'"/>
    <s v="EUR"/>
    <n v="-6.75"/>
    <x v="0"/>
    <x v="3"/>
    <x v="4"/>
    <s v="Pagamento POS"/>
    <s v=""/>
  </r>
  <r>
    <s v="25001046477998"/>
    <s v="03/10/2025"/>
    <s v="03/10/2025"/>
    <s v="RIMB I DIG LEND IV1763739 DA 1/AZIMUT CAPITAL MANAGEMENT SGR SPA"/>
    <s v="EUR"/>
    <n v="30"/>
    <x v="0"/>
    <x v="4"/>
    <x v="5"/>
    <s v="Bonifico"/>
    <s v=""/>
  </r>
  <r>
    <s v="25001048407856"/>
    <s v="04/10/2025"/>
    <s v="06/10/2025"/>
    <s v="BARAVELLI LORETTA RIST COTIGNOLA"/>
    <s v="EUR"/>
    <n v="-19"/>
    <x v="0"/>
    <x v="5"/>
    <x v="6"/>
    <s v="Pagamento POS"/>
    <s v=""/>
  </r>
  <r>
    <s v="25001048429093"/>
    <s v="04/10/2025"/>
    <s v="06/10/2025"/>
    <s v="COSTACAFE SRL RAVENNA"/>
    <s v="EUR"/>
    <n v="-6"/>
    <x v="0"/>
    <x v="5"/>
    <x v="7"/>
    <s v="Pagamento POS"/>
    <s v=""/>
  </r>
  <r>
    <s v="25001051231695"/>
    <s v="06/10/2025"/>
    <s v="08/10/2025"/>
    <s v="ARCAPLANET RAVENNA"/>
    <s v="EUR"/>
    <n v="-169.5"/>
    <x v="0"/>
    <x v="3"/>
    <x v="8"/>
    <s v="Pagamento POS"/>
    <s v=""/>
  </r>
  <r>
    <s v="25001051449439"/>
    <s v="06/10/2025"/>
    <s v="08/10/2025"/>
    <s v="SUPERMERCATO IPERMERCA RAVENNA"/>
    <s v="EUR"/>
    <n v="-52.01"/>
    <x v="0"/>
    <x v="3"/>
    <x v="4"/>
    <s v="Pagamento POS"/>
    <s v=""/>
  </r>
  <r>
    <s v="25001048821966"/>
    <s v="06/10/2025"/>
    <s v="30/09/2025"/>
    <s v="CANONE DEL CONTO"/>
    <s v="EUR"/>
    <n v="-4.5"/>
    <x v="0"/>
    <x v="2"/>
    <x v="9"/>
    <s v="Canone"/>
    <s v=""/>
  </r>
  <r>
    <s v="25001051243208"/>
    <s v="06/10/2025"/>
    <s v="08/10/2025"/>
    <s v="DOMUS NOVA RAVENNA"/>
    <s v="EUR"/>
    <n v="-3.8"/>
    <x v="0"/>
    <x v="1"/>
    <x v="10"/>
    <s v="Pagamento POS"/>
    <s v=""/>
  </r>
  <r>
    <s v="25001047963070"/>
    <s v="06/10/2025"/>
    <s v="06/10/2025"/>
    <s v="American Express Services Europe LTD 61005 Carta Corporate"/>
    <s v="EUR"/>
    <n v="-2"/>
    <x v="0"/>
    <x v="6"/>
    <x v="11"/>
    <s v="Ordine permanente di addebito"/>
    <s v=""/>
  </r>
  <r>
    <s v="25001055249860"/>
    <s v="08/10/2025"/>
    <s v="13/10/2025"/>
    <s v="AMZN Mktp IT 800-279-6620"/>
    <s v="EUR"/>
    <n v="-331.23"/>
    <x v="0"/>
    <x v="7"/>
    <x v="12"/>
    <s v="Pagamenti OnLine"/>
    <s v=""/>
  </r>
  <r>
    <s v="25001053849454"/>
    <s v="08/10/2025"/>
    <s v="10/10/2025"/>
    <s v="YONG FA RUSSI"/>
    <s v="EUR"/>
    <n v="-17.899999999999999"/>
    <x v="0"/>
    <x v="7"/>
    <x v="13"/>
    <s v="Pagamento POS"/>
    <s v=""/>
  </r>
  <r>
    <s v="25001051158084"/>
    <s v="08/10/2025"/>
    <s v="08/10/2025"/>
    <s v="affitto Ottobre 25 DA DELL'ORSO CARLA"/>
    <s v="EUR"/>
    <n v="550"/>
    <x v="0"/>
    <x v="8"/>
    <x v="5"/>
    <s v="Bonifico"/>
    <s v=""/>
  </r>
  <r>
    <s v="25001054727960"/>
    <s v="09/10/2025"/>
    <s v="13/10/2025"/>
    <s v="NETFLIX.COM 18665797172"/>
    <s v="EUR"/>
    <n v="-18.98"/>
    <x v="0"/>
    <x v="3"/>
    <x v="14"/>
    <s v="Pagamenti OnLine"/>
    <s v=""/>
  </r>
  <r>
    <s v="25001058610247"/>
    <s v="13/10/2025"/>
    <s v="15/10/2025"/>
    <s v="SUPERMERCATO CONAD SAN PIETRO IN"/>
    <s v="EUR"/>
    <n v="-22.58"/>
    <x v="0"/>
    <x v="3"/>
    <x v="4"/>
    <s v="Pagamento POS"/>
    <s v=""/>
  </r>
  <r>
    <s v="25001060511173"/>
    <s v="14/10/2025"/>
    <s v="17/10/2025"/>
    <s v="TRENITALIA - PT WL ROMA"/>
    <s v="EUR"/>
    <n v="-90.8"/>
    <x v="0"/>
    <x v="1"/>
    <x v="15"/>
    <s v="Pagamenti OnLine"/>
    <s v=""/>
  </r>
  <r>
    <s v="25001060566273"/>
    <s v="14/10/2025"/>
    <s v="17/10/2025"/>
    <s v="SOFIA ABBIGLIAMENTO RAVENNA"/>
    <s v="EUR"/>
    <n v="-80"/>
    <x v="0"/>
    <x v="7"/>
    <x v="13"/>
    <s v="Pagamento POS"/>
    <s v=""/>
  </r>
  <r>
    <s v="25001060851403"/>
    <s v="14/10/2025"/>
    <s v="17/10/2025"/>
    <s v="TRENITALIA - PT WL ROMA"/>
    <s v="EUR"/>
    <n v="-74.7"/>
    <x v="0"/>
    <x v="1"/>
    <x v="15"/>
    <s v="Pagamenti OnLine"/>
    <s v=""/>
  </r>
  <r>
    <s v="25001059533761"/>
    <s v="14/10/2025"/>
    <s v="16/10/2025"/>
    <s v="FARMACIA DELLE ERBE RAVENNA"/>
    <s v="EUR"/>
    <n v="-11.49"/>
    <x v="0"/>
    <x v="9"/>
    <x v="16"/>
    <s v="Pagamento POS"/>
    <s v=""/>
  </r>
  <r>
    <s v="25001058863860"/>
    <s v="15/10/2025"/>
    <s v="15/10/2025"/>
    <s v="INVESTIMENTI A SIMONE BERTACCINI"/>
    <s v="EUR"/>
    <n v="-5000"/>
    <x v="1"/>
    <x v="6"/>
    <x v="17"/>
    <s v="Bonifico"/>
    <s v=""/>
  </r>
  <r>
    <s v="25001060625232"/>
    <s v="15/10/2025"/>
    <s v="17/10/2025"/>
    <s v="ASPITFAENZA FAENZA"/>
    <s v="EUR"/>
    <n v="-12.9"/>
    <x v="0"/>
    <x v="1"/>
    <x v="18"/>
    <s v="Pagamento POS"/>
    <s v=""/>
  </r>
  <r>
    <s v="25001060640857"/>
    <s v="15/10/2025"/>
    <s v="17/10/2025"/>
    <s v="ASPITFirenze ovest (st Firenze"/>
    <s v="EUR"/>
    <n v="-12.9"/>
    <x v="0"/>
    <x v="1"/>
    <x v="18"/>
    <s v="Pagamento POS"/>
    <s v=""/>
  </r>
  <r>
    <s v="25001061561572"/>
    <s v="16/10/2025"/>
    <s v="20/10/2025"/>
    <s v="Benevity Donations MUENCHEN"/>
    <s v="EUR"/>
    <n v="-50"/>
    <x v="0"/>
    <x v="10"/>
    <x v="19"/>
    <s v="Pagamenti OnLine"/>
    <s v=""/>
  </r>
  <r>
    <s v="25001061924050"/>
    <s v="17/10/2025"/>
    <s v="20/10/2025"/>
    <s v="BETTERSUSHI RAVENNA RAVENNA"/>
    <s v="EUR"/>
    <n v="-32.9"/>
    <x v="0"/>
    <x v="5"/>
    <x v="6"/>
    <s v="Pagamento POS"/>
    <s v=""/>
  </r>
  <r>
    <s v="25001061945506"/>
    <s v="17/10/2025"/>
    <s v="20/10/2025"/>
    <s v="ASPITVENEZIA VENEZIA"/>
    <s v="EUR"/>
    <n v="-2.8"/>
    <x v="0"/>
    <x v="1"/>
    <x v="18"/>
    <s v="Pagamento POS"/>
    <s v=""/>
  </r>
  <r>
    <s v="25001064030366"/>
    <s v="19/10/2025"/>
    <s v="21/10/2025"/>
    <s v="BRICOMAN ITALIA RAVENNA"/>
    <s v="EUR"/>
    <n v="-35.700000000000003"/>
    <x v="0"/>
    <x v="3"/>
    <x v="20"/>
    <s v="Pagamento POS"/>
    <s v=""/>
  </r>
  <r>
    <s v="25001064979186"/>
    <s v="20/10/2025"/>
    <s v="22/10/2025"/>
    <s v="Deichmann Calzature S. RAVENNA"/>
    <s v="EUR"/>
    <n v="-27.99"/>
    <x v="0"/>
    <x v="7"/>
    <x v="21"/>
    <s v="Pagamento POS"/>
    <s v=""/>
  </r>
  <r>
    <s v="25001064872960"/>
    <s v="20/10/2025"/>
    <s v="22/10/2025"/>
    <s v="DOMUS NOVA RAVENNA"/>
    <s v="EUR"/>
    <n v="-1"/>
    <x v="0"/>
    <x v="1"/>
    <x v="10"/>
    <s v="Pagamento POS"/>
    <s v=""/>
  </r>
  <r>
    <s v="25001063455506"/>
    <s v="21/10/2025"/>
    <s v="21/10/2025"/>
    <s v="Engie Italia S.p.A. Bolletta n. MM.2025.3415329.0"/>
    <s v="EUR"/>
    <n v="-65.08"/>
    <x v="0"/>
    <x v="3"/>
    <x v="22"/>
    <s v="Ordine permanente di addebito"/>
    <s v=""/>
  </r>
  <r>
    <s v="25001067164839"/>
    <s v="22/10/2025"/>
    <s v="24/10/2025"/>
    <s v="FAMILA RAVENNA"/>
    <s v="EUR"/>
    <n v="-87.12"/>
    <x v="0"/>
    <x v="3"/>
    <x v="4"/>
    <s v="Pagamento POS"/>
    <s v=""/>
  </r>
  <r>
    <s v="25001067303211"/>
    <s v="22/10/2025"/>
    <s v="24/10/2025"/>
    <s v="Z &amp; H STORE RAVENNA"/>
    <s v="EUR"/>
    <n v="-68.08"/>
    <x v="0"/>
    <x v="7"/>
    <x v="13"/>
    <s v="Pagamento POS"/>
    <s v=""/>
  </r>
  <r>
    <s v="25001065438732"/>
    <s v="22/10/2025"/>
    <s v="22/10/2025"/>
    <s v="BOLLETTINO POSTE"/>
    <s v="EUR"/>
    <n v="-23"/>
    <x v="0"/>
    <x v="3"/>
    <x v="22"/>
    <s v="Bollettino"/>
    <s v=""/>
  </r>
  <r>
    <s v="25001065438732"/>
    <s v="22/10/2025"/>
    <s v="22/10/2025"/>
    <s v="Commissione bollettino"/>
    <s v="EUR"/>
    <n v="-2.15"/>
    <x v="0"/>
    <x v="2"/>
    <x v="9"/>
    <s v="Commissioni"/>
    <s v=""/>
  </r>
  <r>
    <s v="25001068466108"/>
    <s v="24/10/2025"/>
    <s v="27/10/2025"/>
    <s v="SUPERMERCATO CONAD SAN PIETRO IN"/>
    <s v="EUR"/>
    <n v="-19.18"/>
    <x v="0"/>
    <x v="3"/>
    <x v="4"/>
    <s v="Pagamento POS"/>
    <s v=""/>
  </r>
  <r>
    <s v="25001068320793"/>
    <s v="24/10/2025"/>
    <s v="27/10/2025"/>
    <s v="BAR PASTICCERIA BABINI RUSSI"/>
    <s v="EUR"/>
    <n v="-16.600000000000001"/>
    <x v="0"/>
    <x v="5"/>
    <x v="7"/>
    <s v="Pagamento POS"/>
    <s v=""/>
  </r>
  <r>
    <s v="25001071438893"/>
    <s v="27/10/2025"/>
    <s v="29/10/2025"/>
    <s v="FARMACIA DELLE ERBE RAVENNA RA"/>
    <s v="EUR"/>
    <n v="-39.700000000000003"/>
    <x v="0"/>
    <x v="9"/>
    <x v="16"/>
    <s v="Pagamento POS"/>
    <s v=""/>
  </r>
  <r>
    <s v="25001071685761"/>
    <s v="27/10/2025"/>
    <s v="29/10/2025"/>
    <s v="CASA DI CURA SAN FRANC RAVENNA"/>
    <s v="EUR"/>
    <n v="-15.5"/>
    <x v="0"/>
    <x v="9"/>
    <x v="23"/>
    <s v="Pagamento POS"/>
    <s v=""/>
  </r>
  <r>
    <s v="25001071391411"/>
    <s v="27/10/2025"/>
    <s v="29/10/2025"/>
    <s v="ESSELUNGA RAVENNA RAVENNA"/>
    <s v="EUR"/>
    <n v="-13.38"/>
    <x v="0"/>
    <x v="3"/>
    <x v="4"/>
    <s v="Pagamento POS"/>
    <s v=""/>
  </r>
  <r>
    <s v="25001071391801"/>
    <s v="27/10/2025"/>
    <s v="29/10/2025"/>
    <s v="ATLANTIC RAVENNA RAVENNA"/>
    <s v="EUR"/>
    <n v="-11.9"/>
    <x v="0"/>
    <x v="5"/>
    <x v="7"/>
    <s v="Pagamento POS"/>
    <s v=""/>
  </r>
  <r>
    <s v="25001069319423"/>
    <s v="27/10/2025"/>
    <s v="27/10/2025"/>
    <s v="/FOR/BERTACCINI SIMONE RAVENNA/INV/SALA DA MICROSOFT SRL"/>
    <s v="EUR"/>
    <n v="2614.7199999999998"/>
    <x v="0"/>
    <x v="11"/>
    <x v="5"/>
    <s v="Bonifico"/>
    <s v=""/>
  </r>
  <r>
    <s v="25001072600577"/>
    <s v="28/10/2025"/>
    <s v="30/10/2025"/>
    <s v="ARCAPLANET RAVENNA"/>
    <s v="EUR"/>
    <n v="-132.4"/>
    <x v="0"/>
    <x v="3"/>
    <x v="8"/>
    <s v="Pagamento POS"/>
    <s v=""/>
  </r>
  <r>
    <s v="25001072582685"/>
    <s v="28/10/2025"/>
    <s v="30/10/2025"/>
    <s v="RISPARMIO CASA RAVENNA RAVENNA"/>
    <s v="EUR"/>
    <n v="-26.89"/>
    <x v="0"/>
    <x v="3"/>
    <x v="12"/>
    <s v="Pagamento POS"/>
    <s v=""/>
  </r>
  <r>
    <s v="25001072513410"/>
    <s v="28/10/2025"/>
    <s v="30/10/2025"/>
    <s v="FARMACIA DELLE ERBE RAVENNA"/>
    <s v="EUR"/>
    <n v="-21.9"/>
    <x v="0"/>
    <x v="9"/>
    <x v="16"/>
    <s v="Pagamento POS"/>
    <s v=""/>
  </r>
  <r>
    <s v="25001072676304"/>
    <s v="28/10/2025"/>
    <s v="30/10/2025"/>
    <s v="HAPPY CASA STORE RAVENNA"/>
    <s v="EUR"/>
    <n v="-4.18"/>
    <x v="0"/>
    <x v="3"/>
    <x v="24"/>
    <s v="Pagamento POS"/>
    <s v=""/>
  </r>
  <r>
    <s v="25001073924117"/>
    <s v="29/10/2025"/>
    <s v="31/10/2025"/>
    <s v="FARMACIA DELLE ERBE RAVENNA RA"/>
    <s v="EUR"/>
    <n v="-55"/>
    <x v="0"/>
    <x v="9"/>
    <x v="16"/>
    <s v="Pagamento POS"/>
    <s v=""/>
  </r>
  <r>
    <s v="25001074518527"/>
    <s v="30/10/2025"/>
    <s v="03/11/2025"/>
    <s v="SAVINI VIVAI DI SAVINI COTIGNOLA"/>
    <s v="EUR"/>
    <n v="-49"/>
    <x v="0"/>
    <x v="7"/>
    <x v="12"/>
    <s v="Pagamento POS"/>
    <s v=""/>
  </r>
  <r>
    <s v="25001073072621"/>
    <s v="31/10/2025"/>
    <s v="31/10/2025"/>
    <s v="BANCO BPM S.P.A. PAGAMENTO FINANZIAMENTO 01099/05633174 BANCA 05034 C/O BPVN PER RATA SCADENTE IL 31/10/2025"/>
    <s v="EUR"/>
    <n v="-881.2"/>
    <x v="0"/>
    <x v="12"/>
    <x v="25"/>
    <s v="Ordine permanente di addebito"/>
    <s v=""/>
  </r>
  <r>
    <s v="25001073566872"/>
    <s v="31/10/2025"/>
    <s v="31/10/2025"/>
    <s v="STIPENDI DA Esselunga S.p.A."/>
    <s v="EUR"/>
    <n v="1107.8699999999999"/>
    <x v="0"/>
    <x v="11"/>
    <x v="5"/>
    <s v="Bonifico"/>
    <s v="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m/>
    <d v="2025-11-30T00:00:00"/>
    <d v="2025-11-30T00:00:00"/>
    <s v="BANCO BPM S.P.A. PAGAMENTO FINANZIAMENTO 01099/05633174 BANCA 05034 C/O BPVN PER RATA SCADENTE IL 31/10/2025"/>
    <s v="EUR"/>
    <n v="-881.2"/>
    <x v="0"/>
    <x v="0"/>
    <x v="0"/>
    <m/>
    <m/>
  </r>
  <r>
    <s v="25001080651151"/>
    <s v="03/11/2025"/>
    <s v="05/11/2025"/>
    <s v="FARMACIA DELLE ERBE RAVENNA RA"/>
    <s v="EUR"/>
    <n v="-39.700000000000003"/>
    <x v="0"/>
    <x v="1"/>
    <x v="1"/>
    <s v="Pagamento POS"/>
    <s v=""/>
  </r>
  <r>
    <s v="25001080643644"/>
    <s v="03/11/2025"/>
    <s v="05/11/2025"/>
    <s v="HM IT0328 Roma"/>
    <s v="EUR"/>
    <n v="-25.19"/>
    <x v="0"/>
    <x v="2"/>
    <x v="2"/>
    <s v="Pagamento POS"/>
    <s v=""/>
  </r>
  <r>
    <s v="25001080738404"/>
    <s v="03/11/2025"/>
    <s v="05/11/2025"/>
    <s v="QUADRIFOGLIO SRL ROMA"/>
    <s v="EUR"/>
    <n v="-24"/>
    <x v="0"/>
    <x v="3"/>
    <x v="3"/>
    <s v="Pagamento POS"/>
    <s v=""/>
  </r>
  <r>
    <s v="25001080779555"/>
    <s v="03/11/2025"/>
    <s v="05/11/2025"/>
    <s v="PRENATAL ROMA"/>
    <s v="EUR"/>
    <n v="-21.58"/>
    <x v="0"/>
    <x v="2"/>
    <x v="2"/>
    <s v="Pagamento POS"/>
    <s v=""/>
  </r>
  <r>
    <s v="25001080873423"/>
    <s v="03/11/2025"/>
    <s v="05/11/2025"/>
    <s v="ESSO ROSATI ORTE"/>
    <s v="EUR"/>
    <n v="-6"/>
    <x v="0"/>
    <x v="3"/>
    <x v="4"/>
    <s v="Pagamento POS"/>
    <s v=""/>
  </r>
  <r>
    <s v="25001080729379"/>
    <s v="03/11/2025"/>
    <s v="05/11/2025"/>
    <s v="ASPITRoma Nord Roma"/>
    <s v="EUR"/>
    <n v="-4.8"/>
    <x v="0"/>
    <x v="3"/>
    <x v="5"/>
    <s v="Pagamento POS"/>
    <s v=""/>
  </r>
  <r>
    <s v="25001080879036"/>
    <s v="03/11/2025"/>
    <s v="05/11/2025"/>
    <s v="IPER ROMA"/>
    <s v="EUR"/>
    <n v="-4.08"/>
    <x v="0"/>
    <x v="4"/>
    <x v="6"/>
    <s v="Pagamento POS"/>
    <s v=""/>
  </r>
  <r>
    <s v="25001083093629"/>
    <s v="04/11/2025"/>
    <s v="07/11/2025"/>
    <s v="LEROY MERLIN ROMA"/>
    <s v="EUR"/>
    <n v="-65.489999999999995"/>
    <x v="0"/>
    <x v="4"/>
    <x v="7"/>
    <s v="Pagamento POS"/>
    <s v=""/>
  </r>
  <r>
    <s v="25001076728939"/>
    <s v="04/11/2025"/>
    <s v="04/11/2025"/>
    <s v="American Express Services Europe LTD 61005 Carta Corporate"/>
    <s v="EUR"/>
    <n v="-30"/>
    <x v="0"/>
    <x v="5"/>
    <x v="8"/>
    <s v="Ordine permanente di addebito"/>
    <s v=""/>
  </r>
  <r>
    <s v="25001076899332"/>
    <s v="04/11/2025"/>
    <s v="04/11/2025"/>
    <s v="Satispay Europe S.A. Ricarica dell'app Satispay"/>
    <s v="EUR"/>
    <n v="-28.88"/>
    <x v="0"/>
    <x v="5"/>
    <x v="9"/>
    <s v="Ordine permanente di addebito"/>
    <s v=""/>
  </r>
  <r>
    <s v="25001081701844"/>
    <s v="04/11/2025"/>
    <s v="06/11/2025"/>
    <s v="PORTA HFB ECO ROMA"/>
    <s v="EUR"/>
    <n v="-8.4"/>
    <x v="0"/>
    <x v="4"/>
    <x v="7"/>
    <s v="Pagamento POS"/>
    <s v=""/>
  </r>
  <r>
    <s v="25001081773867"/>
    <s v="04/11/2025"/>
    <s v="06/11/2025"/>
    <s v="MICROSOFT ROMA ROMA"/>
    <s v="EUR"/>
    <n v="-6.5"/>
    <x v="0"/>
    <x v="6"/>
    <x v="10"/>
    <s v="Pagamento POS"/>
    <s v=""/>
  </r>
  <r>
    <s v="25001081910440"/>
    <s v="04/11/2025"/>
    <s v="06/11/2025"/>
    <s v="MCDONALD'S ROMA"/>
    <s v="EUR"/>
    <n v="-2.79"/>
    <x v="0"/>
    <x v="6"/>
    <x v="11"/>
    <s v="Pagamento POS"/>
    <s v=""/>
  </r>
  <r>
    <s v="25001083029078"/>
    <s v="05/11/2025"/>
    <s v="07/11/2025"/>
    <s v="TERRANOVA FIUMICINO"/>
    <s v="EUR"/>
    <n v="-58.15"/>
    <x v="0"/>
    <x v="2"/>
    <x v="2"/>
    <s v="Pagamento POS"/>
    <s v=""/>
  </r>
  <r>
    <s v="25001083063144"/>
    <s v="05/11/2025"/>
    <s v="07/11/2025"/>
    <s v="C &amp; A Moda 812 FIUMICINO"/>
    <s v="EUR"/>
    <n v="-39.99"/>
    <x v="0"/>
    <x v="2"/>
    <x v="12"/>
    <s v="Pagamento POS"/>
    <s v=""/>
  </r>
  <r>
    <s v="25001083047812"/>
    <s v="05/11/2025"/>
    <s v="07/11/2025"/>
    <s v="GLOBO FIUMICINO"/>
    <s v="EUR"/>
    <n v="-32.979999999999997"/>
    <x v="0"/>
    <x v="2"/>
    <x v="13"/>
    <s v="Pagamento POS"/>
    <s v=""/>
  </r>
  <r>
    <s v="25001082927792"/>
    <s v="05/11/2025"/>
    <s v="07/11/2025"/>
    <s v="ALICAM SRL FIUMICINO"/>
    <s v="EUR"/>
    <n v="-14.9"/>
    <x v="0"/>
    <x v="4"/>
    <x v="6"/>
    <s v="Pagamento POS"/>
    <s v=""/>
  </r>
  <r>
    <s v="25001083133125"/>
    <s v="05/11/2025"/>
    <s v="07/11/2025"/>
    <s v="AMI POKE' DA VINCI FIUMICINO"/>
    <s v="EUR"/>
    <n v="-10"/>
    <x v="0"/>
    <x v="6"/>
    <x v="11"/>
    <s v="Pagamento POS"/>
    <s v=""/>
  </r>
  <r>
    <s v="25001083068365"/>
    <s v="05/11/2025"/>
    <s v="07/11/2025"/>
    <s v="MICROSOFT ROMA ROMA"/>
    <s v="EUR"/>
    <n v="-6.5"/>
    <x v="0"/>
    <x v="6"/>
    <x v="10"/>
    <s v="Pagamento POS"/>
    <s v=""/>
  </r>
  <r>
    <s v="25001082971470"/>
    <s v="05/11/2025"/>
    <s v="07/11/2025"/>
    <s v="PEPCO 220107 FIUMICINO FIUMICINO"/>
    <s v="EUR"/>
    <n v="-6"/>
    <x v="0"/>
    <x v="4"/>
    <x v="6"/>
    <s v="Pagamento POS"/>
    <s v=""/>
  </r>
  <r>
    <s v="25001082790136"/>
    <s v="05/11/2025"/>
    <s v="07/11/2025"/>
    <s v="Lindt Da Vinci Fiumicino"/>
    <s v="EUR"/>
    <n v="-5.57"/>
    <x v="0"/>
    <x v="2"/>
    <x v="9"/>
    <s v="Pagamento POS"/>
    <s v=""/>
  </r>
  <r>
    <s v="25001082960742"/>
    <s v="05/11/2025"/>
    <s v="07/11/2025"/>
    <s v="ASPITORTE ORTE"/>
    <s v="EUR"/>
    <n v="-4.8"/>
    <x v="0"/>
    <x v="3"/>
    <x v="5"/>
    <s v="Pagamento POS"/>
    <s v=""/>
  </r>
  <r>
    <s v="25001080492916"/>
    <s v="05/11/2025"/>
    <s v="05/11/2025"/>
    <s v="affitto Novembre 2025 DA DELL'ORSO CARLA"/>
    <s v="EUR"/>
    <n v="550"/>
    <x v="0"/>
    <x v="7"/>
    <x v="14"/>
    <s v="Bonifico"/>
    <s v=""/>
  </r>
  <r>
    <s v="25001084146152"/>
    <s v="07/11/2025"/>
    <s v="10/11/2025"/>
    <s v="REVISIONI ROMAGNA SRL RUSSI"/>
    <s v="EUR"/>
    <n v="-78.75"/>
    <x v="0"/>
    <x v="3"/>
    <x v="15"/>
    <s v="Pagamento POS"/>
    <s v=""/>
  </r>
  <r>
    <s v="25001084231014"/>
    <s v="07/11/2025"/>
    <s v="10/11/2025"/>
    <s v="VENCHI Milano Dante Milano"/>
    <s v="EUR"/>
    <n v="-15.3"/>
    <x v="0"/>
    <x v="6"/>
    <x v="10"/>
    <s v="Pagamento POS"/>
    <s v=""/>
  </r>
  <r>
    <s v="25001084187376"/>
    <s v="07/11/2025"/>
    <s v="10/11/2025"/>
    <s v="LA PESCHERIA DI MAGALO RUSSI"/>
    <s v="EUR"/>
    <n v="-10.3"/>
    <x v="0"/>
    <x v="4"/>
    <x v="6"/>
    <s v="Pagamento POS"/>
    <s v=""/>
  </r>
  <r>
    <s v="25001084183572"/>
    <s v="07/11/2025"/>
    <s v="10/11/2025"/>
    <s v="ARMIT RAHHAL COTIGNOLA"/>
    <s v="EUR"/>
    <n v="-10"/>
    <x v="0"/>
    <x v="2"/>
    <x v="2"/>
    <s v="Pagamento POS"/>
    <s v=""/>
  </r>
  <r>
    <s v="25001083971575"/>
    <s v="07/11/2025"/>
    <s v="10/11/2025"/>
    <s v="EUROSPIN RUSSI"/>
    <s v="EUR"/>
    <n v="-9.26"/>
    <x v="0"/>
    <x v="4"/>
    <x v="6"/>
    <s v="Pagamento POS"/>
    <s v=""/>
  </r>
  <r>
    <s v="25001086496103"/>
    <s v="08/11/2025"/>
    <s v="11/11/2025"/>
    <s v="BRICOMAN ITALIA RAVENNA"/>
    <s v="EUR"/>
    <n v="-52.7"/>
    <x v="0"/>
    <x v="4"/>
    <x v="16"/>
    <s v="Pagamento POS"/>
    <s v=""/>
  </r>
  <r>
    <s v="25001086504776"/>
    <s v="09/11/2025"/>
    <s v="11/11/2025"/>
    <s v="BRICOMAN ITALIA RAVENNA"/>
    <s v="EUR"/>
    <n v="-102"/>
    <x v="0"/>
    <x v="4"/>
    <x v="16"/>
    <s v="Pagamento POS"/>
    <s v=""/>
  </r>
  <r>
    <s v="25001086815871"/>
    <s v="09/11/2025"/>
    <s v="11/11/2025"/>
    <s v="NETFLIX.COM MILAN"/>
    <s v="EUR"/>
    <n v="-18.98"/>
    <x v="0"/>
    <x v="4"/>
    <x v="17"/>
    <s v="Pagamenti OnLine"/>
    <s v=""/>
  </r>
  <r>
    <s v="25001088987617"/>
    <s v="11/11/2025"/>
    <s v="13/11/2025"/>
    <s v="MICROSOFT ROMA ROMA"/>
    <s v="EUR"/>
    <n v="-6.5"/>
    <x v="0"/>
    <x v="6"/>
    <x v="10"/>
    <s v="Pagamento POS"/>
    <s v=""/>
  </r>
  <r>
    <s v="25001086132352"/>
    <s v="11/11/2025"/>
    <s v="11/11/2025"/>
    <s v="Satispay Europe S.A. Ricarica dell'app Satispay"/>
    <s v="EUR"/>
    <n v="-5.2"/>
    <x v="0"/>
    <x v="5"/>
    <x v="9"/>
    <s v="Ordine permanente di addebito"/>
    <s v=""/>
  </r>
  <r>
    <s v="25001088783957"/>
    <s v="11/11/2025"/>
    <s v="13/11/2025"/>
    <s v="ASPITORTE ORTE"/>
    <s v="EUR"/>
    <n v="-4.8"/>
    <x v="0"/>
    <x v="3"/>
    <x v="5"/>
    <s v="Pagamento POS"/>
    <s v=""/>
  </r>
  <r>
    <s v="25001088643742"/>
    <s v="11/11/2025"/>
    <s v="13/11/2025"/>
    <s v="ASPITRoma Nord Roma"/>
    <s v="EUR"/>
    <n v="-4.8"/>
    <x v="0"/>
    <x v="3"/>
    <x v="5"/>
    <s v="Pagamento POS"/>
    <s v=""/>
  </r>
  <r>
    <s v="25001089902006"/>
    <s v="12/11/2025"/>
    <s v="14/11/2025"/>
    <s v="ARCAPLANET VIA EDITH . FORLI'"/>
    <s v="EUR"/>
    <n v="-129.55000000000001"/>
    <x v="0"/>
    <x v="4"/>
    <x v="18"/>
    <s v="Pagamento POS"/>
    <s v=""/>
  </r>
  <r>
    <s v="25001089796739"/>
    <s v="12/11/2025"/>
    <s v="14/11/2025"/>
    <s v="FARMACIA SAN PANCRAZIO RUSSI"/>
    <s v="EUR"/>
    <n v="-47.3"/>
    <x v="0"/>
    <x v="1"/>
    <x v="1"/>
    <s v="Pagamento POS"/>
    <s v=""/>
  </r>
  <r>
    <s v="25001090106950"/>
    <s v="12/11/2025"/>
    <s v="14/11/2025"/>
    <s v="CASA DI CURA SAN FRANC RAVENNA"/>
    <s v="EUR"/>
    <n v="-31.5"/>
    <x v="0"/>
    <x v="1"/>
    <x v="19"/>
    <s v="Pagamento POS"/>
    <s v=""/>
  </r>
  <r>
    <s v="25001090109430"/>
    <s v="12/11/2025"/>
    <s v="14/11/2025"/>
    <s v="HAPPY CASA STORE S.R.L FORLI'"/>
    <s v="EUR"/>
    <n v="-29.85"/>
    <x v="0"/>
    <x v="4"/>
    <x v="7"/>
    <s v="Pagamento POS"/>
    <s v=""/>
  </r>
  <r>
    <s v="25001090028859"/>
    <s v="12/11/2025"/>
    <s v="14/11/2025"/>
    <s v="PEPCO 220133 FORLI 1 FORLI"/>
    <s v="EUR"/>
    <n v="-12"/>
    <x v="0"/>
    <x v="2"/>
    <x v="9"/>
    <s v="Pagamento POS"/>
    <s v=""/>
  </r>
  <r>
    <s v="25001089135498"/>
    <s v="13/11/2025"/>
    <s v="13/11/2025"/>
    <s v="INVESTIMENTI A SIMONE BERTACCINI"/>
    <s v="EUR"/>
    <n v="-3000"/>
    <x v="1"/>
    <x v="5"/>
    <x v="20"/>
    <s v="Bonifico"/>
    <s v=""/>
  </r>
  <r>
    <s v="25001090883502"/>
    <s v="13/11/2025"/>
    <s v="17/11/2025"/>
    <s v="TRATTORIA LA MISERIA FAENZA"/>
    <s v="EUR"/>
    <n v="-42"/>
    <x v="0"/>
    <x v="6"/>
    <x v="11"/>
    <s v="Pagamento POS"/>
    <s v=""/>
  </r>
  <r>
    <s v="25001090848285"/>
    <s v="13/11/2025"/>
    <s v="17/11/2025"/>
    <s v="ESSELUNGA RAVENNA RAVENNA"/>
    <s v="EUR"/>
    <n v="-13.01"/>
    <x v="0"/>
    <x v="4"/>
    <x v="6"/>
    <s v="Pagamento POS"/>
    <s v=""/>
  </r>
  <r>
    <s v="25001089421064"/>
    <s v="14/11/2025"/>
    <s v="14/11/2025"/>
    <s v="Ric 10054 scad 15 11 2025, es PRESTAZIONI PROFESSIONALI ADEGU AMENTO AUTORIMESSA Rata n 1 - Compenso profess autorimessa ui P A COP19"/>
    <s v="EUR"/>
    <n v="-125.86"/>
    <x v="0"/>
    <x v="8"/>
    <x v="21"/>
    <s v="MAV"/>
    <s v=""/>
  </r>
  <r>
    <s v="25001092270560"/>
    <s v="15/11/2025"/>
    <s v="17/11/2025"/>
    <s v="SUPERMERCATO XX2755XX FAENZA"/>
    <s v="EUR"/>
    <n v="-3.71"/>
    <x v="0"/>
    <x v="4"/>
    <x v="6"/>
    <s v="Pagamento POS"/>
    <s v=""/>
  </r>
  <r>
    <s v="25001093305271"/>
    <s v="16/11/2025"/>
    <s v="18/11/2025"/>
    <s v="HM IT0494 Ravenna"/>
    <s v="EUR"/>
    <n v="-29.99"/>
    <x v="0"/>
    <x v="2"/>
    <x v="2"/>
    <s v="Pagamento POS"/>
    <s v=""/>
  </r>
  <r>
    <s v="25001093376242"/>
    <s v="16/11/2025"/>
    <s v="18/11/2025"/>
    <s v="KIABI RAVENNA"/>
    <s v="EUR"/>
    <n v="-20"/>
    <x v="0"/>
    <x v="2"/>
    <x v="2"/>
    <s v="Pagamento POS"/>
    <s v=""/>
  </r>
  <r>
    <s v="25001094604792"/>
    <s v="17/11/2025"/>
    <s v="19/11/2025"/>
    <s v="Z &amp; H STORE RAVENNA"/>
    <s v="EUR"/>
    <n v="-36.119999999999997"/>
    <x v="0"/>
    <x v="2"/>
    <x v="2"/>
    <s v="Pagamento POS"/>
    <s v=""/>
  </r>
  <r>
    <s v="25001094505327"/>
    <s v="17/11/2025"/>
    <s v="19/11/2025"/>
    <s v="DOMUS NOVA RAVENNA"/>
    <s v="EUR"/>
    <n v="-0.5"/>
    <x v="0"/>
    <x v="3"/>
    <x v="22"/>
    <s v="Pagamento POS"/>
    <s v=""/>
  </r>
  <r>
    <s v="25001092752523"/>
    <s v="18/11/2025"/>
    <s v="18/11/2025"/>
    <s v="Satispay Europe S.A. Ricarica dell'app Satispay"/>
    <s v="EUR"/>
    <n v="-56.5"/>
    <x v="0"/>
    <x v="5"/>
    <x v="9"/>
    <s v="Ordine permanente di addebito"/>
    <s v=""/>
  </r>
  <r>
    <s v="25001094717639"/>
    <s v="19/11/2025"/>
    <s v="19/11/2025"/>
    <s v="INVESTIMENTI A SIMONE BERTACCINI"/>
    <s v="EUR"/>
    <n v="-20000"/>
    <x v="1"/>
    <x v="5"/>
    <x v="20"/>
    <s v="Bonifico"/>
    <s v=""/>
  </r>
  <r>
    <s v="25001094720942"/>
    <s v="19/11/2025"/>
    <s v="19/11/2025"/>
    <s v="XEON A SIMONE BERTACCINI"/>
    <s v="EUR"/>
    <n v="-5000"/>
    <x v="1"/>
    <x v="9"/>
    <x v="9"/>
    <s v="Bonifico"/>
    <s v=""/>
  </r>
  <r>
    <s v="25001097386073"/>
    <s v="19/11/2025"/>
    <s v="24/11/2025"/>
    <s v="AMZN Mktp IT LUXEMBOURG"/>
    <s v="EUR"/>
    <n v="-66.13"/>
    <x v="0"/>
    <x v="2"/>
    <x v="9"/>
    <s v="Pagamenti OnLine"/>
    <s v=""/>
  </r>
  <r>
    <s v="25001094717311"/>
    <s v="19/11/2025"/>
    <s v="19/11/2025"/>
    <s v="DISINVESTIMENTO 2A6D5785-F574-4994-B1D1-0B4F495DB730 DA MFM INVESTMENT ITALIAN BRANCH"/>
    <s v="EUR"/>
    <n v="26139.66"/>
    <x v="1"/>
    <x v="10"/>
    <x v="14"/>
    <s v="Bonifico"/>
    <s v=""/>
  </r>
  <r>
    <s v="25001094900861"/>
    <s v="20/11/2025"/>
    <s v="20/11/2025"/>
    <s v="Ric 10095 scad 20 11 2025, es IMPIANTO CITOFONICO Rata n 1 - Impianto citofonico ui A10"/>
    <s v="EUR"/>
    <n v="-92"/>
    <x v="0"/>
    <x v="8"/>
    <x v="21"/>
    <s v="MAV"/>
    <s v=""/>
  </r>
  <r>
    <s v="25001097372003"/>
    <s v="20/11/2025"/>
    <s v="24/11/2025"/>
    <s v="ESSELUNGA RAVENNA RAVENNA"/>
    <s v="EUR"/>
    <n v="-24.87"/>
    <x v="0"/>
    <x v="4"/>
    <x v="6"/>
    <s v="Pagamento POS"/>
    <s v=""/>
  </r>
  <r>
    <s v="25001097635938"/>
    <s v="21/11/2025"/>
    <s v="24/11/2025"/>
    <s v="LA PESCHERIA DI MAGALO RUSSI"/>
    <s v="EUR"/>
    <n v="-16"/>
    <x v="0"/>
    <x v="4"/>
    <x v="6"/>
    <s v="Pagamento POS"/>
    <s v=""/>
  </r>
  <r>
    <s v="25001097724960"/>
    <s v="21/11/2025"/>
    <s v="24/11/2025"/>
    <s v="BAR PASTICCERIA BABINI RUSSI"/>
    <s v="EUR"/>
    <n v="-5.2"/>
    <x v="0"/>
    <x v="6"/>
    <x v="10"/>
    <s v="Pagamento POS"/>
    <s v=""/>
  </r>
  <r>
    <s v="25001096525146"/>
    <s v="21/11/2025"/>
    <s v="21/11/2025"/>
    <s v="GSE CONV. SSP00237040 DI PASTORELLI CHIARA DOCUMENTI 202525172690S DA GESTORE DEI SERVIZI ENERGETICI - GS"/>
    <s v="EUR"/>
    <n v="38.29"/>
    <x v="0"/>
    <x v="10"/>
    <x v="14"/>
    <s v="Bonifico"/>
    <s v=""/>
  </r>
  <r>
    <s v="25001096516192"/>
    <s v="21/11/2025"/>
    <s v="21/11/2025"/>
    <s v="GSE CONV. SSP01128003 DI BERTACCINI SIMONE DOCUMENTI 202525828522S DA GESTORE DEI SERVIZI ENERGETICI - GS"/>
    <s v="EUR"/>
    <n v="64.97"/>
    <x v="0"/>
    <x v="10"/>
    <x v="14"/>
    <s v="Bonifico"/>
    <s v=""/>
  </r>
  <r>
    <s v="25001099974058"/>
    <s v="22/11/2025"/>
    <s v="25/11/2025"/>
    <s v="ESSELUNGA RAVENNA RAVENNA"/>
    <s v="EUR"/>
    <n v="-2.39"/>
    <x v="0"/>
    <x v="4"/>
    <x v="6"/>
    <s v="Pagamento POS"/>
    <s v=""/>
  </r>
  <r>
    <s v="25001099974063"/>
    <s v="23/11/2025"/>
    <s v="25/11/2025"/>
    <s v="ESSELUNGA RAVENNA RAVENNA"/>
    <s v="EUR"/>
    <n v="-6.18"/>
    <x v="0"/>
    <x v="4"/>
    <x v="6"/>
    <s v="Pagamento POS"/>
    <s v=""/>
  </r>
  <r>
    <s v="25001101785852"/>
    <s v="25/11/2025"/>
    <s v="27/11/2025"/>
    <s v="SUPERMERCATO CONAD SAN PIETRO IN"/>
    <s v="EUR"/>
    <n v="-28.69"/>
    <x v="0"/>
    <x v="4"/>
    <x v="6"/>
    <s v="Pagamento POS"/>
    <s v=""/>
  </r>
  <r>
    <s v="25001102838718"/>
    <s v="26/11/2025"/>
    <s v="28/11/2025"/>
    <s v="ASPITORTE ORTE"/>
    <s v="EUR"/>
    <n v="-4.8"/>
    <x v="0"/>
    <x v="3"/>
    <x v="5"/>
    <s v="Pagamento POS"/>
    <s v=""/>
  </r>
  <r>
    <s v="25001102839598"/>
    <s v="26/11/2025"/>
    <s v="28/11/2025"/>
    <s v="ASPITRoma Nord Roma"/>
    <s v="EUR"/>
    <n v="-4.8"/>
    <x v="0"/>
    <x v="3"/>
    <x v="5"/>
    <s v="Pagamento POS"/>
    <s v=""/>
  </r>
  <r>
    <s v="25001103063012"/>
    <s v="26/11/2025"/>
    <s v="28/11/2025"/>
    <s v="REBIBBIA 73 ROMA"/>
    <s v="EUR"/>
    <n v="-4"/>
    <x v="0"/>
    <x v="3"/>
    <x v="9"/>
    <s v="Pagamento POS"/>
    <s v=""/>
  </r>
  <r>
    <s v="25001103823413"/>
    <s v="27/11/2025"/>
    <s v="01/12/2025"/>
    <s v="ARCAPLANET VIA FAENTI. RAVENNA"/>
    <s v="EUR"/>
    <n v="-51.5"/>
    <x v="0"/>
    <x v="4"/>
    <x v="6"/>
    <s v="Pagamento POS"/>
    <s v=""/>
  </r>
  <r>
    <s v="25001103875366"/>
    <s v="27/11/2025"/>
    <s v="01/12/2025"/>
    <s v="LE FAVOLE RISTORANTE BAGNACAVALLO"/>
    <s v="EUR"/>
    <n v="-38"/>
    <x v="0"/>
    <x v="6"/>
    <x v="11"/>
    <s v="Pagamento POS"/>
    <s v=""/>
  </r>
  <r>
    <s v="25001103943485"/>
    <s v="27/11/2025"/>
    <s v="01/12/2025"/>
    <s v="PV3055 RAVENNA"/>
    <s v="EUR"/>
    <n v="-20.010000000000002"/>
    <x v="0"/>
    <x v="6"/>
    <x v="11"/>
    <s v="Pagamento POS"/>
    <s v=""/>
  </r>
  <r>
    <s v="25001101788834"/>
    <s v="27/11/2025"/>
    <s v="27/11/2025"/>
    <s v="/FOR/BERTACCINI SIMONE RAVENNA/INV/SALA DA MICROSOFT SRL"/>
    <s v="EUR"/>
    <n v="2728.87"/>
    <x v="0"/>
    <x v="11"/>
    <x v="14"/>
    <s v="Bonifico"/>
    <s v=""/>
  </r>
  <r>
    <s v="1437164120"/>
    <s v="28/11/2025"/>
    <s v="-"/>
    <s v="AMAZON LUXEMBOURG"/>
    <s v="EUR"/>
    <n v="-132.97999999999999"/>
    <x v="0"/>
    <x v="2"/>
    <x v="9"/>
    <s v="Pagamenti OnLine"/>
    <s v=""/>
  </r>
  <r>
    <s v="25001102924522"/>
    <s v="28/11/2025"/>
    <s v="28/11/2025"/>
    <s v="STIPENDI DA Esselunga S.p.A."/>
    <s v="EUR"/>
    <n v="695.26"/>
    <x v="0"/>
    <x v="11"/>
    <x v="14"/>
    <s v="Bonifico"/>
    <s v=""/>
  </r>
  <r>
    <s v="1437908554"/>
    <s v="29/11/2025"/>
    <s v="-"/>
    <s v="SPAZIO CONAD FORLI'"/>
    <s v="EUR"/>
    <n v="-49.22"/>
    <x v="0"/>
    <x v="4"/>
    <x v="6"/>
    <s v="Pagamento POS"/>
    <s v="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25001105657967"/>
    <s v="01/12/2025"/>
    <s v="01/12/2025"/>
    <s v="BANCO BPM S.P.A. PAGAMENTO FINANZIAMENTO 01099/05633174 BANCA 05034 C/O BPVN PER RATA SCADENTE IL 30/11/2025"/>
    <s v="EUR"/>
    <n v="-881.2"/>
    <x v="0"/>
    <x v="0"/>
    <x v="0"/>
    <s v="Ordine permanente di addebito"/>
    <s v=""/>
  </r>
  <r>
    <s v="25001110483636"/>
    <s v="03/12/2025"/>
    <s v="03/12/2025"/>
    <s v="affitto Dicembre 2025 DA DELL'ORSO CARLA"/>
    <s v="EUR"/>
    <n v="550"/>
    <x v="0"/>
    <x v="1"/>
    <x v="1"/>
    <s v="Bonifico"/>
    <s v=""/>
  </r>
  <r>
    <s v="25001113727241"/>
    <s v="04/12/2025"/>
    <s v="09/12/2025"/>
    <s v="ATLANTIC RAVENNA RAVENNA"/>
    <s v="EUR"/>
    <n v="-11.9"/>
    <x v="0"/>
    <x v="2"/>
    <x v="2"/>
    <s v="Pagamento POS"/>
    <s v=""/>
  </r>
  <r>
    <s v="25001113320117"/>
    <s v="05/12/2025"/>
    <s v="05/12/2025"/>
    <s v="INVESTIMENTI A SIMONE BERTACCINI"/>
    <s v="EUR"/>
    <n v="-3000"/>
    <x v="1"/>
    <x v="3"/>
    <x v="3"/>
    <s v="Bonifico"/>
    <s v=""/>
  </r>
  <r>
    <s v="25001114322867"/>
    <s v="05/12/2025"/>
    <s v="09/12/2025"/>
    <s v="ARCAPLANET VIA FAENTI. RAVENNA"/>
    <s v="EUR"/>
    <n v="-85.2"/>
    <x v="0"/>
    <x v="4"/>
    <x v="4"/>
    <s v="Pagamento POS"/>
    <s v=""/>
  </r>
  <r>
    <s v="25001114365702"/>
    <s v="05/12/2025"/>
    <s v="09/12/2025"/>
    <s v="Z &amp; H STORE RAVENNA"/>
    <s v="EUR"/>
    <n v="-31.98"/>
    <x v="0"/>
    <x v="5"/>
    <x v="5"/>
    <s v="Pagamento POS"/>
    <s v=""/>
  </r>
  <r>
    <s v="25001114167647"/>
    <s v="05/12/2025"/>
    <s v="09/12/2025"/>
    <s v="VILLAGGIO NATURA S.R.L RUSSI RA"/>
    <s v="EUR"/>
    <n v="-15.65"/>
    <x v="0"/>
    <x v="4"/>
    <x v="6"/>
    <s v="Pagamento POS"/>
    <s v=""/>
  </r>
  <r>
    <s v="25001115980822"/>
    <s v="06/12/2025"/>
    <s v="09/12/2025"/>
    <s v="ESSELUNGA RAVENNA RAVENNA"/>
    <s v="EUR"/>
    <n v="-47.8"/>
    <x v="0"/>
    <x v="4"/>
    <x v="6"/>
    <s v="Pagamento POS"/>
    <s v=""/>
  </r>
  <r>
    <s v="25001116149666"/>
    <s v="07/12/2025"/>
    <s v="09/12/2025"/>
    <s v="FASTWEB SPA-RICARICHE MILANO"/>
    <s v="EUR"/>
    <n v="-50"/>
    <x v="0"/>
    <x v="4"/>
    <x v="7"/>
    <s v="Pagamenti OnLine"/>
    <s v=""/>
  </r>
  <r>
    <s v="25001117347203"/>
    <s v="08/12/2025"/>
    <s v="10/12/2025"/>
    <s v="MASONE SRL FONTANELLATO"/>
    <s v="EUR"/>
    <n v="-40"/>
    <x v="0"/>
    <x v="6"/>
    <x v="8"/>
    <s v="Pagamento POS"/>
    <s v=""/>
  </r>
  <r>
    <s v="25001117359876"/>
    <s v="08/12/2025"/>
    <s v="10/12/2025"/>
    <s v="RISTORANTE PIZZERIA PARMA"/>
    <s v="EUR"/>
    <n v="-40"/>
    <x v="0"/>
    <x v="2"/>
    <x v="9"/>
    <s v="Pagamento POS"/>
    <s v=""/>
  </r>
  <r>
    <s v="25001117044165"/>
    <s v="08/12/2025"/>
    <s v="10/12/2025"/>
    <s v="COMPLESSO MONUMENTALE LANGHIRANO"/>
    <s v="EUR"/>
    <n v="-16"/>
    <x v="0"/>
    <x v="6"/>
    <x v="10"/>
    <s v="Pagamento POS"/>
    <s v=""/>
  </r>
  <r>
    <s v="25001117402571"/>
    <s v="08/12/2025"/>
    <s v="10/12/2025"/>
    <s v="KFC RAVENNA"/>
    <s v="EUR"/>
    <n v="-13.2"/>
    <x v="0"/>
    <x v="2"/>
    <x v="9"/>
    <s v="Pagamento POS"/>
    <s v=""/>
  </r>
  <r>
    <s v="25001117167236"/>
    <s v="08/12/2025"/>
    <s v="10/12/2025"/>
    <s v="ASPITRAVENNA RAVENNA"/>
    <s v="EUR"/>
    <n v="-11.8"/>
    <x v="0"/>
    <x v="6"/>
    <x v="11"/>
    <s v="Pagamento POS"/>
    <s v=""/>
  </r>
  <r>
    <s v="25001117157045"/>
    <s v="08/12/2025"/>
    <s v="10/12/2025"/>
    <s v="ASPITTERRE DI CANOSSA TERRE DI CANO"/>
    <s v="EUR"/>
    <n v="-10.1"/>
    <x v="0"/>
    <x v="6"/>
    <x v="10"/>
    <s v="Pagamento POS"/>
    <s v=""/>
  </r>
  <r>
    <s v="25001118657658"/>
    <s v="09/12/2025"/>
    <s v="11/12/2025"/>
    <s v="NETFLIX.COM MILAN"/>
    <s v="EUR"/>
    <n v="-18.98"/>
    <x v="0"/>
    <x v="4"/>
    <x v="12"/>
    <s v="Pagamenti OnLine"/>
    <s v=""/>
  </r>
  <r>
    <s v="25001119966570"/>
    <s v="10/12/2025"/>
    <s v="12/12/2025"/>
    <s v="ARCAPLANET RAVENNA"/>
    <s v="EUR"/>
    <n v="-51"/>
    <x v="0"/>
    <x v="4"/>
    <x v="4"/>
    <s v="Pagamento POS"/>
    <s v=""/>
  </r>
  <r>
    <s v="25001120150756"/>
    <s v="10/12/2025"/>
    <s v="12/12/2025"/>
    <s v="TERRANOVA RAVENNA"/>
    <s v="EUR"/>
    <n v="-35.950000000000003"/>
    <x v="0"/>
    <x v="5"/>
    <x v="5"/>
    <s v="Pagamento POS"/>
    <s v=""/>
  </r>
  <r>
    <s v="25001120047479"/>
    <s v="10/12/2025"/>
    <s v="12/12/2025"/>
    <s v="YONG FA RUSSI"/>
    <s v="EUR"/>
    <n v="-22.1"/>
    <x v="0"/>
    <x v="5"/>
    <x v="5"/>
    <s v="Pagamento POS"/>
    <s v=""/>
  </r>
  <r>
    <s v="25001120996051"/>
    <s v="11/12/2025"/>
    <s v="15/12/2025"/>
    <s v="SHEIN Dublin"/>
    <s v="EUR"/>
    <n v="-26.59"/>
    <x v="0"/>
    <x v="5"/>
    <x v="5"/>
    <s v="Pagamenti OnLine"/>
    <s v=""/>
  </r>
  <r>
    <s v="25001119287512"/>
    <s v="12/12/2025"/>
    <s v="12/12/2025"/>
    <s v="Ric 10074 scad 15 12 2025, es PRESTAZIONI PROFESSIONALI ADEGU AMENTO AUTORIMESSA Rata n 2 - Compenso profess autorimessa ui P A COP19"/>
    <s v="EUR"/>
    <n v="-125.86"/>
    <x v="0"/>
    <x v="4"/>
    <x v="13"/>
    <s v="MAV"/>
    <s v=""/>
  </r>
  <r>
    <s v="25001121414847"/>
    <s v="12/12/2025"/>
    <s v="15/12/2025"/>
    <s v="ASPITORTE ORTE"/>
    <s v="EUR"/>
    <n v="-4.8"/>
    <x v="0"/>
    <x v="6"/>
    <x v="11"/>
    <s v="Pagamento POS"/>
    <s v=""/>
  </r>
  <r>
    <s v="25001121400644"/>
    <s v="12/12/2025"/>
    <s v="15/12/2025"/>
    <s v="ASPITRoma Nord Roma"/>
    <s v="EUR"/>
    <n v="-4.8"/>
    <x v="0"/>
    <x v="6"/>
    <x v="11"/>
    <s v="Pagamento POS"/>
    <s v=""/>
  </r>
  <r>
    <s v="25001122519873"/>
    <s v="13/12/2025"/>
    <s v="15/12/2025"/>
    <s v="AYAKI S.R.L IMOLA"/>
    <s v="EUR"/>
    <n v="-65.05"/>
    <x v="0"/>
    <x v="2"/>
    <x v="9"/>
    <s v="Pagamento POS"/>
    <s v=""/>
  </r>
  <r>
    <s v="25001123868492"/>
    <s v="13/12/2025"/>
    <s v="16/12/2025"/>
    <s v="0381 IPMK LUGO LUGO"/>
    <s v="EUR"/>
    <n v="-10.5"/>
    <x v="0"/>
    <x v="4"/>
    <x v="6"/>
    <s v="Pagamento POS"/>
    <s v=""/>
  </r>
  <r>
    <s v="25001122292253"/>
    <s v="13/12/2025"/>
    <s v="15/12/2025"/>
    <s v="ANGEL MERCATONE LUGO"/>
    <s v="EUR"/>
    <n v="-8.8800000000000008"/>
    <x v="0"/>
    <x v="4"/>
    <x v="6"/>
    <s v="Pagamento POS"/>
    <s v=""/>
  </r>
  <r>
    <s v="25001123782327"/>
    <s v="14/12/2025"/>
    <s v="16/12/2025"/>
    <s v="BARBE-CUE DI MINARDI . RAVENNA"/>
    <s v="EUR"/>
    <n v="-38"/>
    <x v="0"/>
    <x v="2"/>
    <x v="9"/>
    <s v="Pagamento POS"/>
    <s v=""/>
  </r>
  <r>
    <s v="25001123909489"/>
    <s v="14/12/2025"/>
    <s v="16/12/2025"/>
    <s v="ESSELUNGA RAVENNA RAVENNA"/>
    <s v="EUR"/>
    <n v="-27.33"/>
    <x v="0"/>
    <x v="4"/>
    <x v="6"/>
    <s v="Pagamento POS"/>
    <s v=""/>
  </r>
  <r>
    <s v="25001122611962"/>
    <s v="15/12/2025"/>
    <s v="15/12/2025"/>
    <s v="ACCONTO 13MA DA Esselunga S.p.A."/>
    <s v="EUR"/>
    <n v="742.68"/>
    <x v="0"/>
    <x v="7"/>
    <x v="1"/>
    <s v="Bonifico"/>
    <s v=""/>
  </r>
  <r>
    <s v="25001122457020"/>
    <s v="15/12/2025"/>
    <s v="15/12/2025"/>
    <s v="/FOR/BERTACCINI SIMONE RAVENNA/INV/SALA DA MICROSOFT SRL"/>
    <s v="EUR"/>
    <n v="3688.79"/>
    <x v="0"/>
    <x v="7"/>
    <x v="1"/>
    <s v="Bonifico"/>
    <s v=""/>
  </r>
  <r>
    <s v="25001131148671"/>
    <s v="16/12/2025"/>
    <s v="23/12/2025"/>
    <s v="AMZN Mktp IT LUXEMBOURG"/>
    <s v="EUR"/>
    <n v="-70.180000000000007"/>
    <x v="0"/>
    <x v="5"/>
    <x v="10"/>
    <s v="Pagamenti OnLine"/>
    <s v=""/>
  </r>
  <r>
    <s v="25001123203850"/>
    <s v="16/12/2025"/>
    <s v="16/12/2025"/>
    <s v="Engie Italia S.p.A. Bolletta n. MM/2025/4146058/0"/>
    <s v="EUR"/>
    <n v="-61.77"/>
    <x v="0"/>
    <x v="4"/>
    <x v="14"/>
    <s v="Ordine permanente di addebito"/>
    <s v=""/>
  </r>
  <r>
    <s v="25001123158319"/>
    <s v="16/12/2025"/>
    <s v="16/12/2025"/>
    <s v="Satispay Europe S.A. Ricarica dell'app Satispay"/>
    <s v="EUR"/>
    <n v="-49.7"/>
    <x v="0"/>
    <x v="3"/>
    <x v="10"/>
    <s v="Ordine permanente di addebito"/>
    <s v=""/>
  </r>
  <r>
    <s v="25001126175392"/>
    <s v="16/12/2025"/>
    <s v="18/12/2025"/>
    <s v="FARMACIA SAN PANCRAZIO RUSSI"/>
    <s v="EUR"/>
    <n v="-47.3"/>
    <x v="0"/>
    <x v="8"/>
    <x v="15"/>
    <s v="Pagamento POS"/>
    <s v=""/>
  </r>
  <r>
    <s v="25001126086090"/>
    <s v="16/12/2025"/>
    <s v="18/12/2025"/>
    <s v="ESSELUNGA RAVENNA RAVENNA"/>
    <s v="EUR"/>
    <n v="-30.63"/>
    <x v="0"/>
    <x v="4"/>
    <x v="6"/>
    <s v="Pagamento POS"/>
    <s v=""/>
  </r>
  <r>
    <s v="25001126416225"/>
    <s v="16/12/2025"/>
    <s v="18/12/2025"/>
    <s v="Amazon.it LUXEMBOURG"/>
    <s v="EUR"/>
    <n v="-15.2"/>
    <x v="0"/>
    <x v="5"/>
    <x v="10"/>
    <s v="Pagamenti OnLine"/>
    <s v=""/>
  </r>
  <r>
    <s v="25001124995589"/>
    <s v="17/12/2025"/>
    <s v="17/12/2025"/>
    <s v="ITALY DA CITIITMX URI 15002662221078 DA ITALY"/>
    <s v="EUR"/>
    <n v="153"/>
    <x v="0"/>
    <x v="9"/>
    <x v="1"/>
    <s v="Bonifico"/>
    <s v=""/>
  </r>
  <r>
    <s v="25001128611018"/>
    <s v="18/12/2025"/>
    <s v="22/12/2025"/>
    <s v="ASPITORTE ORTE"/>
    <s v="EUR"/>
    <n v="-4.8"/>
    <x v="0"/>
    <x v="6"/>
    <x v="11"/>
    <s v="Pagamento POS"/>
    <s v=""/>
  </r>
  <r>
    <s v="25001128615541"/>
    <s v="18/12/2025"/>
    <s v="22/12/2025"/>
    <s v="ASPITRoma Nord Roma"/>
    <s v="EUR"/>
    <n v="-4.8"/>
    <x v="0"/>
    <x v="6"/>
    <x v="11"/>
    <s v="Pagamento POS"/>
    <s v=""/>
  </r>
  <r>
    <s v="25001128856541"/>
    <s v="19/12/2025"/>
    <s v="22/12/2025"/>
    <s v="LIDL 1315 FAENZA"/>
    <s v="EUR"/>
    <n v="-45.66"/>
    <x v="0"/>
    <x v="4"/>
    <x v="6"/>
    <s v="Pagamento POS"/>
    <s v=""/>
  </r>
  <r>
    <s v="25001131433531"/>
    <s v="20/12/2025"/>
    <s v="23/12/2025"/>
    <s v="RIMINI HFB ECO RIMINI"/>
    <s v="EUR"/>
    <n v="-9"/>
    <x v="0"/>
    <x v="4"/>
    <x v="16"/>
    <s v="Pagamento POS"/>
    <s v=""/>
  </r>
  <r>
    <s v="25001130051675"/>
    <s v="20/12/2025"/>
    <s v="22/12/2025"/>
    <s v="ASPITFORLI' FORLI'"/>
    <s v="EUR"/>
    <n v="-3"/>
    <x v="0"/>
    <x v="6"/>
    <x v="11"/>
    <s v="Pagamento POS"/>
    <s v=""/>
  </r>
  <r>
    <s v="25001129817372"/>
    <s v="20/12/2025"/>
    <s v="22/12/2025"/>
    <s v="ASPITRIMINI NORD RIMINI NORD"/>
    <s v="EUR"/>
    <n v="-3"/>
    <x v="0"/>
    <x v="6"/>
    <x v="11"/>
    <s v="Pagamento POS"/>
    <s v=""/>
  </r>
  <r>
    <s v="25001131585289"/>
    <s v="21/12/2025"/>
    <s v="23/12/2025"/>
    <s v="FELTRINELLI LIBRERIE FORLI' FC"/>
    <s v="EUR"/>
    <n v="-29.99"/>
    <x v="0"/>
    <x v="10"/>
    <x v="17"/>
    <s v="Pagamento POS"/>
    <s v=""/>
  </r>
  <r>
    <s v="25001129364479"/>
    <s v="22/12/2025"/>
    <s v="22/12/2025"/>
    <s v="Ric 10129 scad 20 12 2025, es IMPIANTO CITOFONICO Rata n 2 - Impianto citofonico ui A10"/>
    <s v="EUR"/>
    <n v="-92"/>
    <x v="0"/>
    <x v="4"/>
    <x v="13"/>
    <s v="MAV"/>
    <s v=""/>
  </r>
  <r>
    <s v="25001132538615"/>
    <s v="22/12/2025"/>
    <s v="24/12/2025"/>
    <s v="ARCAPLANET RAVENNA"/>
    <s v="EUR"/>
    <n v="-60.75"/>
    <x v="0"/>
    <x v="4"/>
    <x v="4"/>
    <s v="Pagamento POS"/>
    <s v=""/>
  </r>
  <r>
    <s v="25001132274498"/>
    <s v="22/12/2025"/>
    <s v="24/12/2025"/>
    <s v="ESSELUNGA RAVENNA RAVENNA"/>
    <s v="EUR"/>
    <n v="-55.09"/>
    <x v="0"/>
    <x v="4"/>
    <x v="6"/>
    <s v="Pagamento POS"/>
    <s v=""/>
  </r>
  <r>
    <s v="25001132474816"/>
    <s v="22/12/2025"/>
    <s v="24/12/2025"/>
    <s v="MIC RAMEN FORLI' FORLI'"/>
    <s v="EUR"/>
    <n v="-37.799999999999997"/>
    <x v="0"/>
    <x v="2"/>
    <x v="9"/>
    <s v="Pagamento POS"/>
    <s v=""/>
  </r>
  <r>
    <s v="25001132315086"/>
    <s v="22/12/2025"/>
    <s v="24/12/2025"/>
    <s v="HAPPY CASA STORE RAVENNA"/>
    <s v="EUR"/>
    <n v="-30.35"/>
    <x v="0"/>
    <x v="4"/>
    <x v="16"/>
    <s v="Pagamento POS"/>
    <s v=""/>
  </r>
  <r>
    <s v="25001133310891"/>
    <s v="23/12/2025"/>
    <s v="29/12/2025"/>
    <s v="ESSELUNGA RAVENNA RAVENNA"/>
    <s v="EUR"/>
    <n v="-88.74"/>
    <x v="0"/>
    <x v="4"/>
    <x v="6"/>
    <s v="Pagamento POS"/>
    <s v=""/>
  </r>
  <r>
    <s v="25001130463140"/>
    <s v="23/12/2025"/>
    <s v="23/12/2025"/>
    <s v="Satispay Europe S.A. Ricarica dell'app Satispay"/>
    <s v="EUR"/>
    <n v="-19.989999999999998"/>
    <x v="0"/>
    <x v="3"/>
    <x v="10"/>
    <s v="Ordine permanente di addebito"/>
    <s v=""/>
  </r>
  <r>
    <s v="25001134108616"/>
    <s v="24/12/2025"/>
    <s v="29/12/2025"/>
    <s v="ESSELUNGA RAVENNA RAVENNA"/>
    <s v="EUR"/>
    <n v="-7.57"/>
    <x v="0"/>
    <x v="4"/>
    <x v="6"/>
    <s v="Pagamento POS"/>
    <s v=""/>
  </r>
  <r>
    <s v="25001132359884"/>
    <s v="24/12/2025"/>
    <s v="24/12/2025"/>
    <s v="/FOR/BERTACCINI SIMONE RAVENNA/INV/SALA DA MICROSOFT SRL"/>
    <s v="EUR"/>
    <n v="1101.5"/>
    <x v="0"/>
    <x v="7"/>
    <x v="1"/>
    <s v="Bonifico"/>
    <s v=""/>
  </r>
  <r>
    <s v="25001136540978"/>
    <s v="27/12/2025"/>
    <s v="30/12/2025"/>
    <s v="RIMINI HFB ECO RIMINI"/>
    <s v="EUR"/>
    <n v="-200.95"/>
    <x v="0"/>
    <x v="4"/>
    <x v="16"/>
    <s v="Pagamento POS"/>
    <s v=""/>
  </r>
  <r>
    <s v="25001136535963"/>
    <s v="27/12/2025"/>
    <s v="30/12/2025"/>
    <s v="RIMINI HFB ECO RIMINI"/>
    <s v="EUR"/>
    <n v="-42.85"/>
    <x v="0"/>
    <x v="4"/>
    <x v="16"/>
    <s v="Pagamento POS"/>
    <s v=""/>
  </r>
  <r>
    <s v="25001135354323"/>
    <s v="27/12/2025"/>
    <s v="29/12/2025"/>
    <s v="HAPPY CASA STORE S.R.L FORLI'"/>
    <s v="EUR"/>
    <n v="-4.79"/>
    <x v="0"/>
    <x v="4"/>
    <x v="16"/>
    <s v="Pagamento POS"/>
    <s v=""/>
  </r>
  <r>
    <s v="25001135368902"/>
    <s v="27/12/2025"/>
    <s v="29/12/2025"/>
    <s v="ASPITRIMINI NORD RIMINI NORD"/>
    <s v="EUR"/>
    <n v="-3"/>
    <x v="0"/>
    <x v="6"/>
    <x v="11"/>
    <s v="Pagamento POS"/>
    <s v=""/>
  </r>
  <r>
    <s v="25001135317397"/>
    <s v="27/12/2025"/>
    <s v="29/12/2025"/>
    <s v="ASPITCESENA NORD CESENA NORD"/>
    <s v="EUR"/>
    <n v="-1.9"/>
    <x v="0"/>
    <x v="6"/>
    <x v="11"/>
    <s v="Pagamento POS"/>
    <s v=""/>
  </r>
  <r>
    <s v="25001137698473"/>
    <s v="29/12/2025"/>
    <s v="31/12/2025"/>
    <s v="BRICOMAN ITALIA RAVENNA"/>
    <s v="EUR"/>
    <n v="-22.8"/>
    <x v="0"/>
    <x v="4"/>
    <x v="18"/>
    <s v="Pagamento POS"/>
    <s v=""/>
  </r>
  <r>
    <s v="25001137512806"/>
    <s v="29/12/2025"/>
    <s v="31/12/2025"/>
    <s v="ESSELUNGA RAVENNA RAVENNA"/>
    <s v="EUR"/>
    <n v="-8.34"/>
    <x v="0"/>
    <x v="4"/>
    <x v="6"/>
    <s v="Pagamento POS"/>
    <s v=""/>
  </r>
  <r>
    <s v="25001135920235"/>
    <s v="30/12/2025"/>
    <s v="30/12/2025"/>
    <s v="Satispay Europe S.A. Ricarica dell'app Satispay"/>
    <s v="EUR"/>
    <n v="-25"/>
    <x v="0"/>
    <x v="3"/>
    <x v="10"/>
    <s v="Ordine permanente di addebito"/>
    <s v=""/>
  </r>
  <r>
    <s v="1459736604"/>
    <s v="31/12/2025"/>
    <s v="-"/>
    <s v="AMZN Mktp IT LUXEMBOURG"/>
    <s v="EUR"/>
    <n v="-46.87"/>
    <x v="0"/>
    <x v="5"/>
    <x v="10"/>
    <s v="Pagamenti OnLine"/>
    <s v=""/>
  </r>
  <r>
    <s v="1459862742"/>
    <s v="31/12/2025"/>
    <s v="-"/>
    <s v="ESSELUNGA RAVENNA RAVENNA"/>
    <s v="EUR"/>
    <n v="-30.44"/>
    <x v="0"/>
    <x v="4"/>
    <x v="6"/>
    <s v="Pagamento POS"/>
    <s v=""/>
  </r>
  <r>
    <s v="25001137467012"/>
    <s v="31/12/2025"/>
    <s v="31/12/2025"/>
    <s v="GSE CONV. E07E20122307 DI PASTORELLI CHIARA DOCUMENTI 202552903458 DA GESTORE DEI SERVIZI ENERGETICI - GS"/>
    <s v="EUR"/>
    <n v="442.5"/>
    <x v="0"/>
    <x v="4"/>
    <x v="14"/>
    <s v="Bonifico"/>
    <s v=""/>
  </r>
  <r>
    <s v="25001137497341"/>
    <s v="31/12/2025"/>
    <s v="31/12/2025"/>
    <s v="STIPENDI DA Esselunga S.p.A."/>
    <s v="EUR"/>
    <n v="1686.45"/>
    <x v="0"/>
    <x v="7"/>
    <x v="1"/>
    <s v="Bonifico"/>
    <s v="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m/>
    <d v="2024-11-01T00:00:00"/>
    <d v="2024-11-01T00:00:00"/>
    <s v="BANCO BPM S.P.A. PAGAMENTO FINANZIAMENTO 01099/05633174 BANCA"/>
    <s v="EUR"/>
    <n v="-881.2"/>
    <x v="0"/>
    <x v="0"/>
    <x v="0"/>
    <m/>
  </r>
  <r>
    <s v="24000717467052"/>
    <s v="02/11/2024"/>
    <s v="04/11/2024"/>
    <s v="PAN DE AJO BRUSCHETTER RAVENNA"/>
    <s v="EUR"/>
    <n v="-35"/>
    <x v="0"/>
    <x v="1"/>
    <x v="1"/>
    <s v="Pagamento POS"/>
  </r>
  <r>
    <s v="24000717264549"/>
    <s v="04/11/2024"/>
    <s v="04/11/2024"/>
    <s v="American Express Services Europe LTD 61005 Carta Corporate"/>
    <s v="EUR"/>
    <n v="-393.9"/>
    <x v="1"/>
    <x v="2"/>
    <x v="2"/>
    <s v="Ordine permanente di addebito"/>
  </r>
  <r>
    <s v="24000718867675"/>
    <s v="04/11/2024"/>
    <s v="05/11/2024"/>
    <s v="ARCAPLANET RAVENNA"/>
    <s v="EUR"/>
    <n v="-70.55"/>
    <x v="0"/>
    <x v="3"/>
    <x v="3"/>
    <s v="Pagamento POS"/>
  </r>
  <r>
    <s v="24000722399200"/>
    <s v="04/11/2024"/>
    <s v="06/11/2024"/>
    <s v="HAPPY CASA STORE RAVENNA"/>
    <s v="EUR"/>
    <n v="-25.95"/>
    <x v="0"/>
    <x v="3"/>
    <x v="4"/>
    <s v="Pagamento POS"/>
  </r>
  <r>
    <s v="24000721997708"/>
    <s v="04/11/2024"/>
    <s v="06/11/2024"/>
    <s v="NORAUTO RAVENNA RAVENNA RA"/>
    <s v="EUR"/>
    <n v="-17.95"/>
    <x v="0"/>
    <x v="4"/>
    <x v="5"/>
    <s v="Pagamento POS"/>
  </r>
  <r>
    <s v="24000722210299"/>
    <s v="04/11/2024"/>
    <s v="06/11/2024"/>
    <s v="PASTICCERIA LE PLAISIR RAVENNA"/>
    <s v="EUR"/>
    <n v="-13"/>
    <x v="0"/>
    <x v="3"/>
    <x v="6"/>
    <s v="Pagamento POS"/>
  </r>
  <r>
    <s v="24000718170608"/>
    <s v="05/11/2024"/>
    <s v="05/11/2024"/>
    <s v="Satispay Europe S.A. Satispay app top-up"/>
    <s v="EUR"/>
    <n v="-75"/>
    <x v="0"/>
    <x v="2"/>
    <x v="7"/>
    <s v="Ordine permanente di addebito"/>
  </r>
  <r>
    <s v="24000723368603"/>
    <s v="05/11/2024"/>
    <s v="07/11/2024"/>
    <s v="Z&amp;H STORE RAVENNA"/>
    <s v="EUR"/>
    <n v="-40.950000000000003"/>
    <x v="0"/>
    <x v="5"/>
    <x v="7"/>
    <s v="Pagamento POS"/>
  </r>
  <r>
    <s v="24000723064083"/>
    <s v="05/11/2024"/>
    <s v="07/11/2024"/>
    <s v="LIDL 316 RAVENNA"/>
    <s v="EUR"/>
    <n v="-32.229999999999997"/>
    <x v="0"/>
    <x v="3"/>
    <x v="6"/>
    <s v="Pagamento POS"/>
  </r>
  <r>
    <s v="24000723067858"/>
    <s v="05/11/2024"/>
    <s v="07/11/2024"/>
    <s v="BRICOMAN ITALIA RAVENNA"/>
    <s v="EUR"/>
    <n v="-26.45"/>
    <x v="0"/>
    <x v="3"/>
    <x v="8"/>
    <s v="Pagamento POS"/>
  </r>
  <r>
    <s v="24000719040923"/>
    <s v="05/11/2024"/>
    <s v="05/11/2024"/>
    <s v="ITALY DA CITIITMX URI 15002559721078 DA ITALY"/>
    <s v="EUR"/>
    <n v="1123.32"/>
    <x v="1"/>
    <x v="6"/>
    <x v="9"/>
    <s v="Bonifico"/>
  </r>
  <r>
    <s v="24000724344782"/>
    <s v="06/11/2024"/>
    <s v="08/11/2024"/>
    <s v="VILLAGGIO NATURA S.R.L RUSSI"/>
    <s v="EUR"/>
    <n v="-30.5"/>
    <x v="0"/>
    <x v="3"/>
    <x v="6"/>
    <s v="Pagamento POS"/>
  </r>
  <r>
    <s v="24000724122348"/>
    <s v="06/11/2024"/>
    <s v="08/11/2024"/>
    <s v="YONG FA RUSSI"/>
    <s v="EUR"/>
    <n v="-17.8"/>
    <x v="0"/>
    <x v="5"/>
    <x v="10"/>
    <s v="Pagamento POS"/>
  </r>
  <r>
    <s v="24000721888008"/>
    <s v="06/11/2024"/>
    <s v="06/11/2024"/>
    <s v="affitto Novembre 2024 DA DELL'ORSO CARLA"/>
    <s v="EUR"/>
    <n v="550"/>
    <x v="0"/>
    <x v="7"/>
    <x v="9"/>
    <s v="Bonifico"/>
  </r>
  <r>
    <s v="24000728394725"/>
    <s v="09/11/2024"/>
    <s v="13/11/2024"/>
    <s v="DECATHLON 00000537 FAENZA"/>
    <s v="EUR"/>
    <n v="-19.97"/>
    <x v="0"/>
    <x v="5"/>
    <x v="10"/>
    <s v="Pagamento POS"/>
  </r>
  <r>
    <s v="24000726214857"/>
    <s v="10/11/2024"/>
    <s v="11/11/2024"/>
    <s v="NETFLIX.COM Milan"/>
    <s v="EUR"/>
    <n v="-17.98"/>
    <x v="0"/>
    <x v="3"/>
    <x v="11"/>
    <s v="Pagamenti OnLine"/>
  </r>
  <r>
    <s v="24000727387978"/>
    <s v="11/11/2024"/>
    <s v="12/11/2024"/>
    <s v="FAMILA RAVENNA"/>
    <s v="EUR"/>
    <n v="-36.090000000000003"/>
    <x v="0"/>
    <x v="3"/>
    <x v="6"/>
    <s v="Pagamento POS"/>
  </r>
  <r>
    <s v="24000729768348"/>
    <s v="12/11/2024"/>
    <s v="14/11/2024"/>
    <s v="MGVET SRL RUSSI"/>
    <s v="EUR"/>
    <n v="-135"/>
    <x v="0"/>
    <x v="3"/>
    <x v="3"/>
    <s v="Pagamento POS"/>
  </r>
  <r>
    <s v="24000726697637"/>
    <s v="12/11/2024"/>
    <s v="12/11/2024"/>
    <s v="Satispay Europe S.A. Satispay app top-up"/>
    <s v="EUR"/>
    <n v="-60"/>
    <x v="0"/>
    <x v="2"/>
    <x v="7"/>
    <s v="Ordine permanente di addebito"/>
  </r>
  <r>
    <s v="24000729519075"/>
    <s v="13/11/2024"/>
    <s v="14/11/2024"/>
    <s v="FAMILA RAVENNA"/>
    <s v="EUR"/>
    <n v="-22.99"/>
    <x v="0"/>
    <x v="3"/>
    <x v="6"/>
    <s v="Pagamento POS"/>
  </r>
  <r>
    <s v="24000728487657"/>
    <s v="13/11/2024"/>
    <s v="13/11/2024"/>
    <s v="PAGAMENTO SERVIZI DI MISURA POD ITP0AE60847499 FATTURA 924002231375 DEL 16-10-2024 A E DISTRIBUZIONE SPA"/>
    <s v="EUR"/>
    <n v="-14.15"/>
    <x v="0"/>
    <x v="3"/>
    <x v="12"/>
    <s v="Bonifico"/>
  </r>
  <r>
    <s v="24000728497891"/>
    <s v="13/11/2024"/>
    <s v="13/11/2024"/>
    <s v="PAGAMENTO SERVIZI DI MISURA POD ITP0AE60847499 FATTURA 924002233437 DEL 16-10-2024 A E DISTRIBUZIONE SPA"/>
    <s v="EUR"/>
    <n v="-10.81"/>
    <x v="0"/>
    <x v="3"/>
    <x v="12"/>
    <s v="Bonifico"/>
  </r>
  <r>
    <s v="24000731378375"/>
    <s v="14/11/2024"/>
    <s v="18/11/2024"/>
    <s v="ALCOTT FORLI FORLI'"/>
    <s v="EUR"/>
    <n v="-108.37"/>
    <x v="0"/>
    <x v="5"/>
    <x v="10"/>
    <s v="Pagamento POS"/>
  </r>
  <r>
    <s v="24000730699978"/>
    <s v="14/11/2024"/>
    <s v="15/11/2024"/>
    <s v="CLAYTON FORLI'"/>
    <s v="EUR"/>
    <n v="-55"/>
    <x v="0"/>
    <x v="5"/>
    <x v="10"/>
    <s v="Pagamento POS"/>
  </r>
  <r>
    <s v="24000731467132"/>
    <s v="14/11/2024"/>
    <s v="18/11/2024"/>
    <s v="SUPERMERCATO XX1816XX LUGO"/>
    <s v="EUR"/>
    <n v="-33.619999999999997"/>
    <x v="0"/>
    <x v="3"/>
    <x v="6"/>
    <s v="Pagamento POS"/>
  </r>
  <r>
    <s v="24000730637906"/>
    <s v="15/11/2024"/>
    <s v="15/11/2024"/>
    <s v="FONDO A SIMONE BERTACCINI"/>
    <s v="EUR"/>
    <n v="-5000"/>
    <x v="1"/>
    <x v="2"/>
    <x v="7"/>
    <s v="Bonifico"/>
  </r>
  <r>
    <s v="24000730875009"/>
    <s v="15/11/2024"/>
    <s v="15/11/2024"/>
    <s v="PAG. DELEGA F24 DEL 151124"/>
    <s v="EUR"/>
    <n v="-1253"/>
    <x v="0"/>
    <x v="8"/>
    <x v="13"/>
    <s v="F24"/>
  </r>
  <r>
    <s v="24000730370133"/>
    <s v="15/11/2024"/>
    <s v="15/11/2024"/>
    <s v="ITALY DA CITIITMX URI 15002562551078 DA ITALY"/>
    <s v="EUR"/>
    <n v="198.64"/>
    <x v="1"/>
    <x v="6"/>
    <x v="9"/>
    <s v="Bonifico"/>
  </r>
  <r>
    <s v="24000732740433"/>
    <s v="16/11/2024"/>
    <s v="18/11/2024"/>
    <s v="SUSHI MOMA SRL FORLI'"/>
    <s v="EUR"/>
    <n v="-89.4"/>
    <x v="0"/>
    <x v="1"/>
    <x v="1"/>
    <s v="Pagamento POS"/>
  </r>
  <r>
    <s v="24000733825913"/>
    <s v="16/11/2024"/>
    <s v="19/11/2024"/>
    <s v="BRICOMAN ITALIA RAVENNA"/>
    <s v="EUR"/>
    <n v="-9.9499999999999993"/>
    <x v="0"/>
    <x v="3"/>
    <x v="8"/>
    <s v="Pagamento POS"/>
  </r>
  <r>
    <s v="24000733669221"/>
    <s v="16/11/2024"/>
    <s v="19/11/2024"/>
    <s v="ESSELUNGA RAVENNA RAVENNA"/>
    <s v="EUR"/>
    <n v="-8.31"/>
    <x v="0"/>
    <x v="3"/>
    <x v="6"/>
    <s v="Pagamento POS"/>
  </r>
  <r>
    <s v="24000734926549"/>
    <s v="17/11/2024"/>
    <s v="20/11/2024"/>
    <s v="ECOMPANYSTORE ALPHARETTA"/>
    <s v="EUR"/>
    <n v="-13.72"/>
    <x v="0"/>
    <x v="5"/>
    <x v="7"/>
    <s v="Pagamenti OnLine"/>
  </r>
  <r>
    <s v="24000732340007"/>
    <s v="18/11/2024"/>
    <s v="18/11/2024"/>
    <s v="DONAZIONE - CONTRIBUTO SPESE GATTI A I MIAONATI ODV"/>
    <s v="EUR"/>
    <n v="-160"/>
    <x v="0"/>
    <x v="9"/>
    <x v="14"/>
    <s v="Bonifico"/>
  </r>
  <r>
    <s v="24000734881144"/>
    <s v="18/11/2024"/>
    <s v="20/11/2024"/>
    <s v="KIK Tessili e Non-Food SAN PIETRO IN"/>
    <s v="EUR"/>
    <n v="-32.9"/>
    <x v="0"/>
    <x v="5"/>
    <x v="10"/>
    <s v="Pagamento POS"/>
  </r>
  <r>
    <s v="24000734593610"/>
    <s v="18/11/2024"/>
    <s v="20/11/2024"/>
    <s v="SUPERMERCATO CONAD SAN PIETRO IN"/>
    <s v="EUR"/>
    <n v="-14.54"/>
    <x v="0"/>
    <x v="3"/>
    <x v="6"/>
    <s v="Pagamento POS"/>
  </r>
  <r>
    <s v="24000734820445"/>
    <s v="18/11/2024"/>
    <s v="20/11/2024"/>
    <s v="FORNO PASTICCERIA GAMB RAVENNA"/>
    <s v="EUR"/>
    <n v="-13"/>
    <x v="0"/>
    <x v="3"/>
    <x v="6"/>
    <s v="Pagamento POS"/>
  </r>
  <r>
    <s v="24000734872339"/>
    <s v="18/11/2024"/>
    <s v="20/11/2024"/>
    <s v="SumUp *Blue live srl Milano"/>
    <s v="EUR"/>
    <n v="-7.5"/>
    <x v="0"/>
    <x v="1"/>
    <x v="1"/>
    <s v="Pagamento POS"/>
  </r>
  <r>
    <s v="24000735706025"/>
    <s v="18/11/2024"/>
    <s v="21/11/2024"/>
    <s v="CLESS TICKET ATM MILAN MILANO"/>
    <s v="EUR"/>
    <n v="-2.2000000000000002"/>
    <x v="0"/>
    <x v="4"/>
    <x v="15"/>
    <s v="Pagamento POS"/>
  </r>
  <r>
    <s v="24000735469113"/>
    <s v="19/11/2024"/>
    <s v="21/11/2024"/>
    <s v="YONG FA RUSSI"/>
    <s v="EUR"/>
    <n v="-46.18"/>
    <x v="0"/>
    <x v="5"/>
    <x v="10"/>
    <s v="Pagamento POS"/>
  </r>
  <r>
    <s v="24000735752544"/>
    <s v="19/11/2024"/>
    <s v="21/11/2024"/>
    <s v="FUSINI SNC BAGNACAVALLO"/>
    <s v="EUR"/>
    <n v="-8.6"/>
    <x v="0"/>
    <x v="3"/>
    <x v="6"/>
    <s v="Pagamento POS"/>
  </r>
  <r>
    <s v="24000736682605"/>
    <s v="22/11/2024"/>
    <s v="22/11/2024"/>
    <s v="INVESTIMENTI A SIMONE BERTACCINI"/>
    <s v="EUR"/>
    <n v="-3000"/>
    <x v="1"/>
    <x v="9"/>
    <x v="7"/>
    <s v="Bonifico"/>
  </r>
  <r>
    <s v="24000737821642"/>
    <s v="22/11/2024"/>
    <s v="25/11/2024"/>
    <s v="SUPERMERCATO XX1816XX LUGO"/>
    <s v="EUR"/>
    <n v="-30.63"/>
    <x v="0"/>
    <x v="3"/>
    <x v="6"/>
    <s v="Pagamento POS"/>
  </r>
  <r>
    <s v="24000736455167"/>
    <s v="22/11/2024"/>
    <s v="22/11/2024"/>
    <s v="FT: 202421861522S DA GESTORE DEI SERVIZI ENERGETICI - GS"/>
    <s v="EUR"/>
    <n v="23.96"/>
    <x v="0"/>
    <x v="6"/>
    <x v="9"/>
    <s v="Bonifico"/>
  </r>
  <r>
    <s v="24000741685823"/>
    <s v="23/11/2024"/>
    <s v="28/11/2024"/>
    <s v="AMZN Mktp IT 800-279-6620"/>
    <s v="EUR"/>
    <n v="-77.3"/>
    <x v="0"/>
    <x v="5"/>
    <x v="7"/>
    <s v="Pagamenti OnLine"/>
  </r>
  <r>
    <s v="24000740595286"/>
    <s v="25/11/2024"/>
    <s v="27/11/2024"/>
    <s v="ARCAPLANET VIA FAENTI. RAVENNA"/>
    <s v="EUR"/>
    <n v="-81.900000000000006"/>
    <x v="0"/>
    <x v="3"/>
    <x v="3"/>
    <s v="Pagamento POS"/>
  </r>
  <r>
    <s v="24000740651368"/>
    <s v="25/11/2024"/>
    <s v="27/11/2024"/>
    <s v="LA FIORENTINA FIANO ROMANO"/>
    <s v="EUR"/>
    <n v="-25"/>
    <x v="0"/>
    <x v="1"/>
    <x v="1"/>
    <s v="Pagamento POS"/>
  </r>
  <r>
    <s v="24000740562991"/>
    <s v="25/11/2024"/>
    <s v="27/11/2024"/>
    <s v="ASPITMAGLIANO SABINA MAGLIANO SABI"/>
    <s v="EUR"/>
    <n v="-0.8"/>
    <x v="0"/>
    <x v="4"/>
    <x v="16"/>
    <s v="Pagamento POS"/>
  </r>
  <r>
    <s v="24000738887654"/>
    <s v="26/11/2024"/>
    <s v="26/11/2024"/>
    <s v="Satispay Europe S.A. Satispay app top-up"/>
    <s v="EUR"/>
    <n v="-47.45"/>
    <x v="0"/>
    <x v="2"/>
    <x v="7"/>
    <s v="Ordine permanente di addebito"/>
  </r>
  <r>
    <s v="24000741587473"/>
    <s v="26/11/2024"/>
    <s v="28/11/2024"/>
    <s v="ASPITORTE ORTE"/>
    <s v="EUR"/>
    <n v="-0.8"/>
    <x v="0"/>
    <x v="4"/>
    <x v="16"/>
    <s v="Pagamento POS"/>
  </r>
  <r>
    <s v="24000739854350"/>
    <s v="27/11/2024"/>
    <s v="27/11/2024"/>
    <s v="PREVENTIVO SCIA AUTORIMESSA A CONDOMINIO MOZART 11 13 A"/>
    <s v="EUR"/>
    <n v="-207.71"/>
    <x v="0"/>
    <x v="3"/>
    <x v="17"/>
    <s v="Bonifico"/>
  </r>
  <r>
    <s v="24000740295156"/>
    <s v="27/11/2024"/>
    <s v="27/11/2024"/>
    <s v="/FOR/BERTACCINI SIMONE ROMA/INV/SALA DA MICROSOFT SRL"/>
    <s v="EUR"/>
    <n v="2815.06"/>
    <x v="0"/>
    <x v="10"/>
    <x v="9"/>
    <s v="Bonifico"/>
  </r>
  <r>
    <s v="24000743284531"/>
    <s v="28/11/2024"/>
    <s v="02/12/2024"/>
    <s v="ESSELUNGA RAVENNA RAVENNA"/>
    <s v="EUR"/>
    <n v="-6.14"/>
    <x v="0"/>
    <x v="3"/>
    <x v="6"/>
    <s v="Pagamento POS"/>
  </r>
  <r>
    <s v="24000743624559"/>
    <s v="29/11/2024"/>
    <s v="02/12/2024"/>
    <s v="RIESLING VINO E CUCINA RAVENNA"/>
    <s v="EUR"/>
    <n v="-40"/>
    <x v="0"/>
    <x v="1"/>
    <x v="1"/>
    <s v="Pagamento POS"/>
  </r>
  <r>
    <s v="24000742217570"/>
    <s v="29/11/2024"/>
    <s v="29/11/2024"/>
    <s v="STIPENDI DA Esselunga S.p.A."/>
    <s v="EUR"/>
    <n v="1425.71"/>
    <x v="0"/>
    <x v="10"/>
    <x v="9"/>
    <s v="Bonifico"/>
  </r>
  <r>
    <s v="1202537201"/>
    <s v="30/11/2024"/>
    <s v="30/11/2024"/>
    <s v="BRICOMAN ITALIA RAVENNA"/>
    <s v="EUR"/>
    <n v="-64.099999999999994"/>
    <x v="0"/>
    <x v="3"/>
    <x v="8"/>
    <s v="Pagamento POS"/>
  </r>
  <r>
    <s v="1202664385"/>
    <s v="30/11/2024"/>
    <s v="30/11/2024"/>
    <s v="AMERICA GRAFFITI FORLI FORLI'"/>
    <s v="EUR"/>
    <n v="-34.4"/>
    <x v="0"/>
    <x v="1"/>
    <x v="1"/>
    <s v="Pagamento POS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25000986280915"/>
    <s v="01/08/2025"/>
    <s v="04/08/2025"/>
    <s v="LORENZETTI FEDERICA RUSSI"/>
    <s v="EUR"/>
    <n v="-40"/>
    <x v="0"/>
    <x v="0"/>
    <x v="0"/>
    <x v="0"/>
    <s v="Pagamento POS"/>
    <s v=""/>
  </r>
  <r>
    <s v="25001011194110"/>
    <s v="01/09/2025"/>
    <s v="01/09/2025"/>
    <s v="BANCO BPM S.P.A. PAGAMENTO FINANZIAMENTO 01099/05633174 BANCA 05034 C/O BPVN PER RATA SCADENTE IL 31/08/2025"/>
    <s v="EUR"/>
    <n v="-881.2"/>
    <x v="0"/>
    <x v="0"/>
    <x v="1"/>
    <x v="1"/>
    <s v=""/>
    <m/>
  </r>
  <r>
    <s v="25000988515186"/>
    <s v="02/08/2025"/>
    <s v="05/08/2025"/>
    <s v="ESSELUNGA RAVENNA RAVENNA"/>
    <s v="EUR"/>
    <n v="-14.77"/>
    <x v="0"/>
    <x v="0"/>
    <x v="2"/>
    <x v="2"/>
    <s v="Pagamento POS"/>
    <s v=""/>
  </r>
  <r>
    <s v="25000987486031"/>
    <s v="02/08/2025"/>
    <s v="04/08/2025"/>
    <s v="NEWYORKER Faenza"/>
    <s v="EUR"/>
    <n v="-5.99"/>
    <x v="0"/>
    <x v="0"/>
    <x v="3"/>
    <x v="3"/>
    <s v="Pagamento POS"/>
    <s v=""/>
  </r>
  <r>
    <s v="25000989759837"/>
    <s v="04/08/2025"/>
    <s v="06/08/2025"/>
    <s v="SUPERMERCATO XX2742XX RUSSI"/>
    <s v="EUR"/>
    <n v="-53.69"/>
    <x v="0"/>
    <x v="0"/>
    <x v="2"/>
    <x v="2"/>
    <s v="Pagamento POS"/>
    <s v=""/>
  </r>
  <r>
    <s v="25000988261169"/>
    <s v="05/08/2025"/>
    <s v="05/08/2025"/>
    <s v="Satispay Europe S.A. Ricarica dell'app Satispay"/>
    <s v="EUR"/>
    <n v="-98.3"/>
    <x v="0"/>
    <x v="0"/>
    <x v="4"/>
    <x v="4"/>
    <s v="Ordine permanente di addebito"/>
    <s v=""/>
  </r>
  <r>
    <s v="25000990963123"/>
    <s v="05/08/2025"/>
    <s v="07/08/2025"/>
    <s v="ARCAPLANET RAVENNA"/>
    <s v="EUR"/>
    <n v="-27.4"/>
    <x v="0"/>
    <x v="0"/>
    <x v="2"/>
    <x v="5"/>
    <s v="Pagamento POS"/>
    <s v=""/>
  </r>
  <r>
    <s v="25000990782622"/>
    <s v="05/08/2025"/>
    <s v="07/08/2025"/>
    <s v="HAPPY CASA STORE RAVENNA"/>
    <s v="EUR"/>
    <n v="-8.9700000000000006"/>
    <x v="0"/>
    <x v="0"/>
    <x v="2"/>
    <x v="6"/>
    <s v="Pagamento POS"/>
    <s v=""/>
  </r>
  <r>
    <s v="25000988616243"/>
    <s v="05/08/2025"/>
    <s v="05/08/2025"/>
    <s v="affitto Agosto 2025 DA DELL'ORSO CARLA"/>
    <s v="EUR"/>
    <n v="550"/>
    <x v="0"/>
    <x v="0"/>
    <x v="5"/>
    <x v="7"/>
    <s v="Bonifico"/>
    <s v=""/>
  </r>
  <r>
    <s v="25000991188918"/>
    <s v="07/08/2025"/>
    <s v="07/08/2025"/>
    <s v="INVESTIMENTI A SIMONE BERTACCINI"/>
    <s v="EUR"/>
    <n v="-4000"/>
    <x v="1"/>
    <x v="0"/>
    <x v="4"/>
    <x v="8"/>
    <s v="Bonifico"/>
    <s v=""/>
  </r>
  <r>
    <s v="25000992843198"/>
    <s v="07/08/2025"/>
    <s v="11/08/2025"/>
    <s v="ESSELUNGA RAVENNA RAVENNA"/>
    <s v="EUR"/>
    <n v="-10.89"/>
    <x v="0"/>
    <x v="0"/>
    <x v="2"/>
    <x v="2"/>
    <s v="Pagamento POS"/>
    <s v=""/>
  </r>
  <r>
    <s v="25000990710803"/>
    <s v="07/08/2025"/>
    <s v="07/08/2025"/>
    <s v="ITALY DA CITIITMX URI 15002632731078 DA ITALY"/>
    <s v="EUR"/>
    <n v="1396.9"/>
    <x v="0"/>
    <x v="0"/>
    <x v="6"/>
    <x v="7"/>
    <s v="Bonifico"/>
    <s v=""/>
  </r>
  <r>
    <s v="25000993374991"/>
    <s v="08/08/2025"/>
    <s v="11/08/2025"/>
    <s v="ESSELUNGA RAVENNA RAVENNA"/>
    <s v="EUR"/>
    <n v="-12.4"/>
    <x v="0"/>
    <x v="0"/>
    <x v="2"/>
    <x v="2"/>
    <s v="Pagamento POS"/>
    <s v=""/>
  </r>
  <r>
    <s v="25000993379145"/>
    <s v="08/08/2025"/>
    <s v="11/08/2025"/>
    <s v="DISTRIBUTORE GEO - GAS RAVENNA"/>
    <s v="EUR"/>
    <n v="-7.03"/>
    <x v="0"/>
    <x v="0"/>
    <x v="7"/>
    <x v="9"/>
    <s v="Pagamento POS"/>
    <s v=""/>
  </r>
  <r>
    <s v="25000993126349"/>
    <s v="09/08/2025"/>
    <s v="09/08/2025"/>
    <s v="PAG. DELEGA F24 DEL 090825"/>
    <s v="EUR"/>
    <n v="-1190"/>
    <x v="0"/>
    <x v="0"/>
    <x v="8"/>
    <x v="10"/>
    <s v="F24"/>
    <s v=""/>
  </r>
  <r>
    <s v="25000997445059"/>
    <s v="09/08/2025"/>
    <s v="14/08/2025"/>
    <s v="AMZN Mktp IT 800-279-6620"/>
    <s v="EUR"/>
    <n v="-43.34"/>
    <x v="0"/>
    <x v="0"/>
    <x v="3"/>
    <x v="4"/>
    <s v="Pagamenti OnLine"/>
    <s v=""/>
  </r>
  <r>
    <s v="25000995131349"/>
    <s v="09/08/2025"/>
    <s v="12/08/2025"/>
    <s v="ARCAPLANET FAENZA"/>
    <s v="EUR"/>
    <n v="-24"/>
    <x v="0"/>
    <x v="0"/>
    <x v="2"/>
    <x v="5"/>
    <s v="Pagamento POS"/>
    <s v=""/>
  </r>
  <r>
    <s v="25000995389793"/>
    <s v="09/08/2025"/>
    <s v="12/08/2025"/>
    <s v="CONBIPEL FAENZA RA"/>
    <s v="EUR"/>
    <n v="-12.2"/>
    <x v="0"/>
    <x v="0"/>
    <x v="3"/>
    <x v="3"/>
    <s v="Pagamento POS"/>
    <s v=""/>
  </r>
  <r>
    <s v="25000994382264"/>
    <s v="09/08/2025"/>
    <s v="11/08/2025"/>
    <s v="CINEMA CITY RAVENNA"/>
    <s v="EUR"/>
    <n v="-6.6"/>
    <x v="0"/>
    <x v="0"/>
    <x v="9"/>
    <x v="11"/>
    <s v="Pagamento POS"/>
    <s v=""/>
  </r>
  <r>
    <s v="25000994183305"/>
    <s v="10/08/2025"/>
    <s v="11/08/2025"/>
    <s v="NETFLIX.COM 18665797172"/>
    <s v="EUR"/>
    <n v="-18.98"/>
    <x v="0"/>
    <x v="0"/>
    <x v="2"/>
    <x v="12"/>
    <s v="Pagamenti OnLine"/>
    <s v=""/>
  </r>
  <r>
    <s v="25000996242472"/>
    <s v="11/08/2025"/>
    <s v="13/08/2025"/>
    <s v="FARMACIA SAN PANCRAZIO RUSSI"/>
    <s v="EUR"/>
    <n v="-35.44"/>
    <x v="0"/>
    <x v="0"/>
    <x v="0"/>
    <x v="13"/>
    <s v="Pagamento POS"/>
    <s v=""/>
  </r>
  <r>
    <s v="25000996092143"/>
    <s v="11/08/2025"/>
    <s v="13/08/2025"/>
    <s v="SUPERMERCATO CONAD SAN PIETRO IN"/>
    <s v="EUR"/>
    <n v="-7.21"/>
    <x v="0"/>
    <x v="0"/>
    <x v="2"/>
    <x v="2"/>
    <s v="Pagamento POS"/>
    <s v=""/>
  </r>
  <r>
    <s v="25000994760799"/>
    <s v="12/08/2025"/>
    <s v="12/08/2025"/>
    <s v="Satispay Europe S.A. Ricarica dell'app Satispay"/>
    <s v="EUR"/>
    <n v="-57"/>
    <x v="0"/>
    <x v="0"/>
    <x v="4"/>
    <x v="4"/>
    <s v="Ordine permanente di addebito"/>
    <s v=""/>
  </r>
  <r>
    <s v="25000997389714"/>
    <s v="12/08/2025"/>
    <s v="14/08/2025"/>
    <s v="SUPERMERCATO XX2742XX RUSSI"/>
    <s v="EUR"/>
    <n v="-17.23"/>
    <x v="0"/>
    <x v="0"/>
    <x v="2"/>
    <x v="2"/>
    <s v="Pagamento POS"/>
    <s v=""/>
  </r>
  <r>
    <s v="25000997284263"/>
    <s v="12/08/2025"/>
    <s v="14/08/2025"/>
    <s v="FRATELLI TERBINTI RUSSI"/>
    <s v="EUR"/>
    <n v="-13"/>
    <x v="0"/>
    <x v="0"/>
    <x v="2"/>
    <x v="2"/>
    <s v="Pagamento POS"/>
    <s v=""/>
  </r>
  <r>
    <s v="25000996460841"/>
    <s v="13/08/2025"/>
    <s v="13/08/2025"/>
    <s v="INVESTIMENTI A SIMONE BERTACCINI"/>
    <s v="EUR"/>
    <n v="-3000"/>
    <x v="1"/>
    <x v="0"/>
    <x v="4"/>
    <x v="8"/>
    <s v="Bonifico"/>
    <s v=""/>
  </r>
  <r>
    <s v="25000998750863"/>
    <s v="14/08/2025"/>
    <s v="18/08/2025"/>
    <s v="ARCAPLANET RAVENNA"/>
    <s v="EUR"/>
    <n v="-116.1"/>
    <x v="0"/>
    <x v="0"/>
    <x v="2"/>
    <x v="5"/>
    <s v="Pagamento POS"/>
    <s v=""/>
  </r>
  <r>
    <s v="25000998549684"/>
    <s v="14/08/2025"/>
    <s v="18/08/2025"/>
    <s v="LA SAPONERIA RAVENNA"/>
    <s v="EUR"/>
    <n v="-37.25"/>
    <x v="0"/>
    <x v="0"/>
    <x v="3"/>
    <x v="4"/>
    <s v="Pagamento POS"/>
    <s v=""/>
  </r>
  <r>
    <s v="25000998692549"/>
    <s v="14/08/2025"/>
    <s v="18/08/2025"/>
    <s v="MD SPA RAVENNA"/>
    <s v="EUR"/>
    <n v="-11.4"/>
    <x v="0"/>
    <x v="0"/>
    <x v="2"/>
    <x v="2"/>
    <s v="Pagamento POS"/>
    <s v=""/>
  </r>
  <r>
    <s v="25001000635769"/>
    <s v="17/08/2025"/>
    <s v="19/08/2025"/>
    <s v="DISTRIBUTORE GEO - GAS RAVENNA"/>
    <s v="EUR"/>
    <n v="-22.03"/>
    <x v="0"/>
    <x v="0"/>
    <x v="7"/>
    <x v="9"/>
    <s v="Pagamento POS"/>
    <s v=""/>
  </r>
  <r>
    <s v="25001000108287"/>
    <s v="19/08/2025"/>
    <s v="19/08/2025"/>
    <s v="Satispay Europe S.A. Ricarica dell'app Satispay"/>
    <s v="EUR"/>
    <n v="-75.53"/>
    <x v="0"/>
    <x v="0"/>
    <x v="4"/>
    <x v="4"/>
    <s v="Ordine permanente di addebito"/>
    <s v=""/>
  </r>
  <r>
    <s v="25001002499422"/>
    <s v="19/08/2025"/>
    <s v="21/08/2025"/>
    <s v="ARCAPLANET RAVENNA"/>
    <s v="EUR"/>
    <n v="-58.35"/>
    <x v="0"/>
    <x v="0"/>
    <x v="2"/>
    <x v="5"/>
    <s v="Pagamento POS"/>
    <s v=""/>
  </r>
  <r>
    <s v="25001002482718"/>
    <s v="19/08/2025"/>
    <s v="21/08/2025"/>
    <s v="HAPPY CASA STORE RAVENNA"/>
    <s v="EUR"/>
    <n v="-25.98"/>
    <x v="0"/>
    <x v="0"/>
    <x v="2"/>
    <x v="6"/>
    <s v="Pagamento POS"/>
    <s v=""/>
  </r>
  <r>
    <s v="25001002817459"/>
    <s v="21/08/2025"/>
    <s v="21/08/2025"/>
    <s v="ASSICURAZIONE IBIZA A BERTACCINI PIERPAOLO"/>
    <s v="EUR"/>
    <n v="-180"/>
    <x v="0"/>
    <x v="0"/>
    <x v="2"/>
    <x v="14"/>
    <s v="Bonifico istantaneo"/>
    <s v=""/>
  </r>
  <r>
    <s v="25001004145392"/>
    <s v="21/08/2025"/>
    <s v="25/08/2025"/>
    <s v="BIZANTINA S.R.L. RAVENNA"/>
    <s v="EUR"/>
    <n v="-20"/>
    <x v="0"/>
    <x v="0"/>
    <x v="10"/>
    <x v="15"/>
    <s v="Pagamento POS"/>
    <s v=""/>
  </r>
  <r>
    <s v="25001006261622"/>
    <s v="23/08/2025"/>
    <s v="26/08/2025"/>
    <s v="ESSELUNGA RAVENNA RAVENNA"/>
    <s v="EUR"/>
    <n v="-3.04"/>
    <x v="0"/>
    <x v="0"/>
    <x v="2"/>
    <x v="2"/>
    <s v="Pagamento POS"/>
    <s v=""/>
  </r>
  <r>
    <s v="25001007253579"/>
    <s v="25/08/2025"/>
    <s v="27/08/2025"/>
    <s v="FARMACIA SAN PANCRAZIO RUSSI"/>
    <s v="EUR"/>
    <n v="-10.9"/>
    <x v="0"/>
    <x v="0"/>
    <x v="0"/>
    <x v="13"/>
    <s v="Pagamento POS"/>
    <s v=""/>
  </r>
  <r>
    <s v="25001008108301"/>
    <s v="25/08/2025"/>
    <s v="28/08/2025"/>
    <s v="Heberer FFM Flgh Schen Frankfurt am"/>
    <s v="EUR"/>
    <n v="-4.9000000000000004"/>
    <x v="0"/>
    <x v="1"/>
    <x v="10"/>
    <x v="16"/>
    <s v="Pagamento POS"/>
    <s v=""/>
  </r>
  <r>
    <s v="25001007295456"/>
    <s v="25/08/2025"/>
    <s v="27/08/2025"/>
    <s v="ASPITBOLOGNA SAN LAZZA BOLOGNA SAN L"/>
    <s v="EUR"/>
    <n v="-3.9"/>
    <x v="0"/>
    <x v="1"/>
    <x v="7"/>
    <x v="17"/>
    <s v="Pagamento POS"/>
    <s v=""/>
  </r>
  <r>
    <s v="25001005676471"/>
    <s v="26/08/2025"/>
    <s v="26/08/2025"/>
    <s v="Satispay Europe S.A. Ricarica dell'app Satispay"/>
    <s v="EUR"/>
    <n v="-76.7"/>
    <x v="0"/>
    <x v="0"/>
    <x v="4"/>
    <x v="4"/>
    <s v="Ordine permanente di addebito"/>
    <s v=""/>
  </r>
  <r>
    <s v="25001005643740"/>
    <s v="26/08/2025"/>
    <s v="26/08/2025"/>
    <s v="Engie Italia S.p.A. Bolletta n. MM/2025/2717167/0"/>
    <s v="EUR"/>
    <n v="-59.1"/>
    <x v="0"/>
    <x v="0"/>
    <x v="2"/>
    <x v="18"/>
    <s v="Ordine permanente di addebito"/>
    <s v=""/>
  </r>
  <r>
    <s v="25001008129736"/>
    <s v="26/08/2025"/>
    <s v="28/08/2025"/>
    <s v="Geysir verslun Blaskogabyggd"/>
    <s v="EUR"/>
    <n v="-32.619999999999997"/>
    <x v="0"/>
    <x v="1"/>
    <x v="11"/>
    <x v="19"/>
    <s v="Pagamento POS"/>
    <s v=""/>
  </r>
  <r>
    <s v="25001008242345"/>
    <s v="26/08/2025"/>
    <s v="28/08/2025"/>
    <s v="Bonus Smaratorgi Kopavogur"/>
    <s v="EUR"/>
    <n v="-12.81"/>
    <x v="0"/>
    <x v="1"/>
    <x v="2"/>
    <x v="2"/>
    <s v="Pagamento POS"/>
    <s v=""/>
  </r>
  <r>
    <s v="25001008169149"/>
    <s v="26/08/2025"/>
    <s v="28/08/2025"/>
    <s v="Kokulist ehf Hafnarfjordur"/>
    <s v="EUR"/>
    <n v="-7.85"/>
    <x v="0"/>
    <x v="1"/>
    <x v="10"/>
    <x v="16"/>
    <s v="Pagamento POS"/>
    <s v=""/>
  </r>
  <r>
    <s v="25001008129756"/>
    <s v="26/08/2025"/>
    <s v="28/08/2025"/>
    <s v="Parka Reykjavik"/>
    <s v="EUR"/>
    <n v="-7.14"/>
    <x v="0"/>
    <x v="1"/>
    <x v="7"/>
    <x v="20"/>
    <s v="Pagamento POS"/>
    <s v=""/>
  </r>
  <r>
    <s v="25001008169154"/>
    <s v="26/08/2025"/>
    <s v="28/08/2025"/>
    <s v="THjodg.THingvollum SELFOSS"/>
    <s v="EUR"/>
    <n v="-7.14"/>
    <x v="0"/>
    <x v="1"/>
    <x v="7"/>
    <x v="20"/>
    <s v="Pagamento POS"/>
    <s v=""/>
  </r>
  <r>
    <s v="25001008129744"/>
    <s v="26/08/2025"/>
    <s v="28/08/2025"/>
    <s v="Parka Reykjavik"/>
    <s v="EUR"/>
    <n v="-5.36"/>
    <x v="0"/>
    <x v="1"/>
    <x v="7"/>
    <x v="20"/>
    <s v="Pagamento POS"/>
    <s v=""/>
  </r>
  <r>
    <s v="25001008946987"/>
    <s v="27/08/2025"/>
    <s v="29/08/2025"/>
    <s v="Byggdasafnid Skogum Hvolsvollur"/>
    <s v="EUR"/>
    <n v="-39.840000000000003"/>
    <x v="0"/>
    <x v="1"/>
    <x v="9"/>
    <x v="21"/>
    <s v="Pagamento POS"/>
    <s v=""/>
  </r>
  <r>
    <s v="25001008950561"/>
    <s v="27/08/2025"/>
    <s v="29/08/2025"/>
    <s v="Byggdasafnid Skogum Hvolsvollur"/>
    <s v="EUR"/>
    <n v="-31.65"/>
    <x v="0"/>
    <x v="1"/>
    <x v="9"/>
    <x v="21"/>
    <s v="Pagamento POS"/>
    <s v=""/>
  </r>
  <r>
    <s v="25001009182216"/>
    <s v="27/08/2025"/>
    <s v="29/08/2025"/>
    <s v="Bonus Selfoss Selfoss"/>
    <s v="EUR"/>
    <n v="-27"/>
    <x v="0"/>
    <x v="1"/>
    <x v="2"/>
    <x v="2"/>
    <s v="Pagamento POS"/>
    <s v=""/>
  </r>
  <r>
    <s v="25001008941308"/>
    <s v="27/08/2025"/>
    <s v="29/08/2025"/>
    <s v="Almar Bakari Hveragerdi"/>
    <s v="EUR"/>
    <n v="-17.53"/>
    <x v="0"/>
    <x v="1"/>
    <x v="10"/>
    <x v="16"/>
    <s v="Pagamento POS"/>
    <s v=""/>
  </r>
  <r>
    <s v="25001008941296"/>
    <s v="27/08/2025"/>
    <s v="29/08/2025"/>
    <s v="Kerfelagid ehf. Reykjavik"/>
    <s v="EUR"/>
    <n v="-8.69"/>
    <x v="0"/>
    <x v="1"/>
    <x v="7"/>
    <x v="20"/>
    <s v="Pagamento POS"/>
    <s v=""/>
  </r>
  <r>
    <s v="25001009183167"/>
    <s v="27/08/2025"/>
    <s v="29/08/2025"/>
    <s v="Seljalandsfoss ehf. Hvolsvollur"/>
    <s v="EUR"/>
    <n v="-7.24"/>
    <x v="0"/>
    <x v="1"/>
    <x v="7"/>
    <x v="20"/>
    <s v="Pagamento POS"/>
    <s v=""/>
  </r>
  <r>
    <s v="25001006998774"/>
    <s v="27/08/2025"/>
    <s v="27/08/2025"/>
    <s v="/FOR/BERTACCINI SIMONE RAVENNA/INV/SALA DA MICROSOFT SRL"/>
    <s v="EUR"/>
    <n v="5583.99"/>
    <x v="0"/>
    <x v="0"/>
    <x v="12"/>
    <x v="7"/>
    <s v="Bonifico"/>
    <s v=""/>
  </r>
  <r>
    <s v="25001009842444"/>
    <s v="28/08/2025"/>
    <s v="01/09/2025"/>
    <s v="Adventure Hotels Reykjavik"/>
    <s v="EUR"/>
    <n v="-46.03"/>
    <x v="0"/>
    <x v="1"/>
    <x v="10"/>
    <x v="22"/>
    <s v="Pagamento POS"/>
    <s v=""/>
  </r>
  <r>
    <s v="25001009906997"/>
    <s v="28/08/2025"/>
    <s v="01/09/2025"/>
    <s v="Bilastaedi Skaftafelli HOFN"/>
    <s v="EUR"/>
    <n v="-7.53"/>
    <x v="0"/>
    <x v="1"/>
    <x v="7"/>
    <x v="20"/>
    <s v="Pagamento POS"/>
    <s v=""/>
  </r>
  <r>
    <s v="25001009816983"/>
    <s v="28/08/2025"/>
    <s v="01/09/2025"/>
    <s v="Parka Reykjavik"/>
    <s v="EUR"/>
    <n v="-7.24"/>
    <x v="0"/>
    <x v="1"/>
    <x v="7"/>
    <x v="20"/>
    <s v="Pagamento POS"/>
    <s v=""/>
  </r>
  <r>
    <s v="25001009811538"/>
    <s v="28/08/2025"/>
    <s v="01/09/2025"/>
    <s v="Parka Reykjavik"/>
    <s v="EUR"/>
    <n v="-7.24"/>
    <x v="0"/>
    <x v="1"/>
    <x v="7"/>
    <x v="20"/>
    <s v="Pagamento POS"/>
    <s v=""/>
  </r>
  <r>
    <s v="25001010260931"/>
    <s v="29/08/2025"/>
    <s v="01/09/2025"/>
    <s v="Bonus Egilsstadir Egilsstadir"/>
    <s v="EUR"/>
    <n v="-18.510000000000002"/>
    <x v="0"/>
    <x v="1"/>
    <x v="2"/>
    <x v="2"/>
    <s v="Pagamento POS"/>
    <s v=""/>
  </r>
  <r>
    <s v="25001010092285"/>
    <s v="29/08/2025"/>
    <s v="01/09/2025"/>
    <s v="Bilastaedi Jokulsarlon Hofn"/>
    <s v="EUR"/>
    <n v="-7.48"/>
    <x v="0"/>
    <x v="1"/>
    <x v="11"/>
    <x v="19"/>
    <s v="Pagamento POS"/>
    <s v=""/>
  </r>
  <r>
    <s v="25001008969150"/>
    <s v="29/08/2025"/>
    <s v="29/08/2025"/>
    <s v="STIPENDI DA Esselunga S.p.A."/>
    <s v="EUR"/>
    <n v="507.45"/>
    <x v="0"/>
    <x v="0"/>
    <x v="12"/>
    <x v="7"/>
    <s v="Bonifico"/>
    <s v=""/>
  </r>
  <r>
    <s v="25001011413282"/>
    <s v="30/08/2025"/>
    <s v="01/09/2025"/>
    <s v="Gamli baerinn Laufasi Akureyri"/>
    <s v="EUR"/>
    <n v="-37.54"/>
    <x v="0"/>
    <x v="1"/>
    <x v="9"/>
    <x v="21"/>
    <s v="Pagamento POS"/>
    <s v=""/>
  </r>
  <r>
    <s v="25001011316970"/>
    <s v="30/08/2025"/>
    <s v="01/09/2025"/>
    <s v="IceWear Godafoss Husavik"/>
    <s v="EUR"/>
    <n v="-17.11"/>
    <x v="0"/>
    <x v="1"/>
    <x v="11"/>
    <x v="19"/>
    <s v="Pagamento POS"/>
    <s v=""/>
  </r>
  <r>
    <s v="25001011375369"/>
    <s v="30/08/2025"/>
    <s v="01/09/2025"/>
    <s v="Kronan Akureyri Akureyri"/>
    <s v="EUR"/>
    <n v="-16.61"/>
    <x v="0"/>
    <x v="1"/>
    <x v="2"/>
    <x v="2"/>
    <s v="Pagamento POS"/>
    <s v=""/>
  </r>
  <r>
    <s v="25001011348351"/>
    <s v="30/08/2025"/>
    <s v="01/09/2025"/>
    <s v="Sannir Reykjahlid ehf Reykjavik"/>
    <s v="EUR"/>
    <n v="-10.1"/>
    <x v="0"/>
    <x v="1"/>
    <x v="11"/>
    <x v="19"/>
    <s v="Pagamento POS"/>
    <s v=""/>
  </r>
  <r>
    <s v="25001011358082"/>
    <s v="30/08/2025"/>
    <s v="01/09/2025"/>
    <s v="Icewear - Nayax Gardabaer"/>
    <s v="EUR"/>
    <n v="-1.44"/>
    <x v="0"/>
    <x v="1"/>
    <x v="7"/>
    <x v="23"/>
    <s v="Pagamento POS"/>
    <s v=""/>
  </r>
  <r>
    <s v="25001012914987"/>
    <s v="31/08/2025"/>
    <s v="02/09/2025"/>
    <s v="Selasetur Islands ehf Hvammstangi"/>
    <s v="EUR"/>
    <n v="-23.1"/>
    <x v="0"/>
    <x v="1"/>
    <x v="9"/>
    <x v="21"/>
    <s v="Pagamento POS"/>
    <s v=""/>
  </r>
  <r>
    <s v="25001012865886"/>
    <s v="31/08/2025"/>
    <s v="02/09/2025"/>
    <s v="Axelsbakari Akureyri"/>
    <s v="EUR"/>
    <n v="-14.58"/>
    <x v="0"/>
    <x v="1"/>
    <x v="10"/>
    <x v="16"/>
    <s v="Pagamento POS"/>
    <s v=""/>
  </r>
  <r>
    <m/>
    <m/>
    <m/>
    <s v="KEF Restaurant Reykjanesbaer"/>
    <s v="ISK"/>
    <n v="-90.08"/>
    <x v="0"/>
    <x v="1"/>
    <x v="10"/>
    <x v="22"/>
    <m/>
    <m/>
  </r>
  <r>
    <m/>
    <m/>
    <m/>
    <s v="N1 Vallarheidi Sjalfsali Reykjanesbaer"/>
    <s v="ISK"/>
    <n v="-45.85"/>
    <x v="0"/>
    <x v="1"/>
    <x v="7"/>
    <x v="9"/>
    <m/>
    <m/>
  </r>
  <r>
    <m/>
    <m/>
    <m/>
    <s v="OB Kirkjubaejarklaustr KIRKJUBAEJARK"/>
    <s v="ISK"/>
    <n v="-43.47"/>
    <x v="0"/>
    <x v="1"/>
    <x v="7"/>
    <x v="9"/>
    <m/>
    <m/>
  </r>
  <r>
    <m/>
    <m/>
    <m/>
    <s v="Orkan   Egilsst. Midvangi Egilsstadir"/>
    <s v="ISK"/>
    <n v="-41.64"/>
    <x v="0"/>
    <x v="1"/>
    <x v="7"/>
    <x v="9"/>
    <m/>
    <m/>
  </r>
  <r>
    <m/>
    <m/>
    <m/>
    <s v="N1 Grundarfirdi sjalfsali Grundarfirdi"/>
    <s v="ISK"/>
    <n v="-40.880000000000003"/>
    <x v="0"/>
    <x v="1"/>
    <x v="7"/>
    <x v="9"/>
    <m/>
    <m/>
  </r>
  <r>
    <m/>
    <m/>
    <m/>
    <s v="Olis Selfoss SELFOSS"/>
    <s v="ISK"/>
    <n v="-36.18"/>
    <x v="0"/>
    <x v="1"/>
    <x v="7"/>
    <x v="9"/>
    <m/>
    <m/>
  </r>
  <r>
    <m/>
    <m/>
    <m/>
    <s v="OLIS AKUREYRI AKUREYRI"/>
    <s v="ISK"/>
    <n v="-33.340000000000003"/>
    <x v="0"/>
    <x v="1"/>
    <x v="7"/>
    <x v="9"/>
    <m/>
    <m/>
  </r>
  <r>
    <m/>
    <m/>
    <m/>
    <s v="Hotel Arnarstapi Borgarnes"/>
    <s v="EUR"/>
    <n v="-28.81"/>
    <x v="0"/>
    <x v="1"/>
    <x v="10"/>
    <x v="24"/>
    <m/>
    <m/>
  </r>
  <r>
    <m/>
    <m/>
    <m/>
    <s v="Ramen CPH Airport Kastrup"/>
    <s v="DKK"/>
    <n v="-27.6"/>
    <x v="0"/>
    <x v="1"/>
    <x v="10"/>
    <x v="24"/>
    <m/>
    <m/>
  </r>
  <r>
    <m/>
    <m/>
    <m/>
    <s v="OLIOLI - CPH AI KASTRUP"/>
    <s v="DKK"/>
    <n v="-21.39"/>
    <x v="0"/>
    <x v="1"/>
    <x v="10"/>
    <x v="24"/>
    <m/>
    <m/>
  </r>
  <r>
    <m/>
    <m/>
    <m/>
    <s v="Icewear Laugavegi 1 Reykjavik"/>
    <s v="ISK"/>
    <n v="-18.54"/>
    <x v="0"/>
    <x v="1"/>
    <x v="7"/>
    <x v="25"/>
    <m/>
    <m/>
  </r>
  <r>
    <m/>
    <m/>
    <m/>
    <s v="Bonus Skipholti Reykjavik"/>
    <s v="ISK"/>
    <n v="-15.1"/>
    <x v="0"/>
    <x v="1"/>
    <x v="2"/>
    <x v="2"/>
    <m/>
    <m/>
  </r>
  <r>
    <m/>
    <m/>
    <m/>
    <s v="Bonus Njardvik Reykjanesbaer"/>
    <s v="ISK"/>
    <n v="-11.99"/>
    <x v="0"/>
    <x v="1"/>
    <x v="2"/>
    <x v="2"/>
    <m/>
    <m/>
  </r>
  <r>
    <m/>
    <m/>
    <m/>
    <s v="Parka Reykjavik"/>
    <s v="ISK"/>
    <n v="-7.86"/>
    <x v="0"/>
    <x v="1"/>
    <x v="7"/>
    <x v="20"/>
    <m/>
    <m/>
  </r>
  <r>
    <m/>
    <m/>
    <m/>
    <s v="Penninn - Leifsstod Reykjanesbaer"/>
    <s v="EUR"/>
    <n v="-6.96"/>
    <x v="0"/>
    <x v="1"/>
    <x v="7"/>
    <x v="25"/>
    <m/>
    <m/>
  </r>
  <r>
    <m/>
    <m/>
    <m/>
    <s v="Lukkutangi ehf. Reykjavik"/>
    <s v="EUR"/>
    <n v="-6.5"/>
    <x v="0"/>
    <x v="1"/>
    <x v="7"/>
    <x v="25"/>
    <m/>
    <m/>
  </r>
  <r>
    <m/>
    <m/>
    <m/>
    <s v="Parka Reykjavik"/>
    <s v="ISK"/>
    <n v="-5.43"/>
    <x v="0"/>
    <x v="1"/>
    <x v="7"/>
    <x v="20"/>
    <m/>
    <m/>
  </r>
  <r>
    <m/>
    <m/>
    <m/>
    <s v="Grundarfjardarbaer WC GRUNDARFJORDU"/>
    <s v="EUR"/>
    <n v="-2.16"/>
    <x v="0"/>
    <x v="1"/>
    <x v="7"/>
    <x v="23"/>
    <m/>
    <m/>
  </r>
  <r>
    <m/>
    <m/>
    <m/>
    <s v="Grundarfjardarbaer WC GRUNDARFJORDU"/>
    <s v="EUR"/>
    <n v="-2.16"/>
    <x v="0"/>
    <x v="1"/>
    <x v="7"/>
    <x v="23"/>
    <m/>
    <m/>
  </r>
  <r>
    <m/>
    <m/>
    <m/>
    <s v="Harpa tonlistar og rad Reykjavik"/>
    <s v="EUR"/>
    <n v="-1.44"/>
    <x v="0"/>
    <x v="1"/>
    <x v="7"/>
    <x v="23"/>
    <m/>
    <m/>
  </r>
  <r>
    <m/>
    <m/>
    <m/>
    <s v="Harpa tonlistar og radste Reykjavik"/>
    <s v="ISK"/>
    <n v="-1.44"/>
    <x v="0"/>
    <x v="1"/>
    <x v="7"/>
    <x v="2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F4164-89F5-4E06-9E7A-49D66268231C}" name="PivotTable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5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2">
        <item x="7"/>
        <item x="9"/>
        <item x="1"/>
        <item x="3"/>
        <item x="6"/>
        <item x="10"/>
        <item x="0"/>
        <item x="5"/>
        <item x="8"/>
        <item x="2"/>
        <item x="4"/>
        <item t="default"/>
      </items>
    </pivotField>
    <pivotField axis="axisRow" showAll="0">
      <items count="20">
        <item x="9"/>
        <item x="10"/>
        <item x="11"/>
        <item x="6"/>
        <item x="2"/>
        <item x="3"/>
        <item x="4"/>
        <item x="12"/>
        <item x="5"/>
        <item x="8"/>
        <item x="0"/>
        <item x="15"/>
        <item x="1"/>
        <item x="14"/>
        <item x="17"/>
        <item m="1" x="18"/>
        <item x="16"/>
        <item x="7"/>
        <item x="13"/>
        <item t="default"/>
      </items>
    </pivotField>
    <pivotField showAll="0"/>
  </pivotFields>
  <rowFields count="2">
    <field x="7"/>
    <field x="8"/>
  </rowFields>
  <rowItems count="32">
    <i>
      <x/>
    </i>
    <i r="1">
      <x/>
    </i>
    <i>
      <x v="1"/>
    </i>
    <i r="1">
      <x v="13"/>
    </i>
    <i>
      <x v="2"/>
    </i>
    <i r="1">
      <x v="12"/>
    </i>
    <i>
      <x v="3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4"/>
    </i>
    <i>
      <x v="4"/>
    </i>
    <i r="1">
      <x/>
    </i>
    <i>
      <x v="5"/>
    </i>
    <i r="1">
      <x/>
    </i>
    <i>
      <x v="6"/>
    </i>
    <i r="1">
      <x v="10"/>
    </i>
    <i>
      <x v="7"/>
    </i>
    <i r="1">
      <x v="1"/>
    </i>
    <i r="1">
      <x v="17"/>
    </i>
    <i>
      <x v="8"/>
    </i>
    <i r="1">
      <x v="18"/>
    </i>
    <i>
      <x v="9"/>
    </i>
    <i r="1">
      <x v="17"/>
    </i>
    <i>
      <x v="10"/>
    </i>
    <i r="1">
      <x v="8"/>
    </i>
    <i r="1">
      <x v="11"/>
    </i>
    <i r="1">
      <x v="16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B5827-CA78-4161-B01A-0205E2C90F73}" name="PivotTable1" cacheId="9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:B36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3">
        <item x="5"/>
        <item m="1" x="11"/>
        <item x="0"/>
        <item x="2"/>
        <item x="10"/>
        <item x="6"/>
        <item x="8"/>
        <item x="3"/>
        <item x="4"/>
        <item x="1"/>
        <item x="7"/>
        <item x="9"/>
        <item t="default"/>
      </items>
    </pivotField>
    <pivotField axis="axisRow" showAll="0">
      <items count="21">
        <item x="5"/>
        <item x="4"/>
        <item x="10"/>
        <item x="2"/>
        <item x="6"/>
        <item x="15"/>
        <item x="8"/>
        <item x="13"/>
        <item x="12"/>
        <item x="3"/>
        <item m="1" x="19"/>
        <item x="16"/>
        <item x="18"/>
        <item x="14"/>
        <item x="0"/>
        <item x="7"/>
        <item x="17"/>
        <item x="11"/>
        <item x="1"/>
        <item x="9"/>
        <item t="default"/>
      </items>
    </pivotField>
    <pivotField showAll="0"/>
  </pivotFields>
  <rowFields count="2">
    <field x="7"/>
    <field x="8"/>
  </rowFields>
  <rowItems count="32">
    <i>
      <x/>
    </i>
    <i r="1">
      <x/>
    </i>
    <i>
      <x v="2"/>
    </i>
    <i r="1">
      <x v="14"/>
    </i>
    <i>
      <x v="3"/>
    </i>
    <i r="1">
      <x v="2"/>
    </i>
    <i r="1">
      <x v="3"/>
    </i>
    <i r="1">
      <x v="5"/>
    </i>
    <i r="1">
      <x v="7"/>
    </i>
    <i r="1">
      <x v="11"/>
    </i>
    <i r="1">
      <x v="19"/>
    </i>
    <i>
      <x v="4"/>
    </i>
    <i r="1">
      <x/>
    </i>
    <i>
      <x v="6"/>
    </i>
    <i r="1">
      <x/>
    </i>
    <i>
      <x v="7"/>
    </i>
    <i r="1">
      <x v="6"/>
    </i>
    <i r="1">
      <x v="9"/>
    </i>
    <i r="1">
      <x v="15"/>
    </i>
    <i>
      <x v="8"/>
    </i>
    <i r="1">
      <x v="1"/>
    </i>
    <i r="1">
      <x v="18"/>
    </i>
    <i>
      <x v="9"/>
    </i>
    <i r="1">
      <x v="18"/>
    </i>
    <i>
      <x v="10"/>
    </i>
    <i r="1">
      <x v="8"/>
    </i>
    <i r="1">
      <x v="13"/>
    </i>
    <i r="1">
      <x v="16"/>
    </i>
    <i r="1">
      <x v="17"/>
    </i>
    <i>
      <x v="11"/>
    </i>
    <i r="1">
      <x v="12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84A6D-2AAD-4D55-8278-CBC48BC47D7D}" name="PivotTable1" cacheId="9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32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3">
        <item x="6"/>
        <item x="7"/>
        <item x="4"/>
        <item x="0"/>
        <item x="10"/>
        <item x="9"/>
        <item x="3"/>
        <item x="2"/>
        <item x="5"/>
        <item x="8"/>
        <item x="1"/>
        <item x="11"/>
        <item t="default"/>
      </items>
    </pivotField>
    <pivotField axis="axisRow" showAll="0">
      <items count="16">
        <item x="1"/>
        <item x="3"/>
        <item x="10"/>
        <item x="0"/>
        <item x="5"/>
        <item x="4"/>
        <item x="2"/>
        <item x="8"/>
        <item x="11"/>
        <item m="1" x="14"/>
        <item x="13"/>
        <item x="12"/>
        <item x="7"/>
        <item x="6"/>
        <item x="9"/>
        <item t="default"/>
      </items>
    </pivotField>
    <pivotField showAll="0"/>
  </pivotFields>
  <rowFields count="2">
    <field x="7"/>
    <field x="8"/>
  </rowFields>
  <rowItems count="29">
    <i>
      <x/>
    </i>
    <i r="1">
      <x/>
    </i>
    <i>
      <x v="1"/>
    </i>
    <i r="1">
      <x v="12"/>
    </i>
    <i>
      <x v="2"/>
    </i>
    <i r="1">
      <x v="5"/>
    </i>
    <i r="1">
      <x v="11"/>
    </i>
    <i>
      <x v="3"/>
    </i>
    <i r="1">
      <x v="2"/>
    </i>
    <i r="1">
      <x v="3"/>
    </i>
    <i r="1">
      <x v="14"/>
    </i>
    <i>
      <x v="4"/>
    </i>
    <i r="1">
      <x/>
    </i>
    <i>
      <x v="5"/>
    </i>
    <i r="1">
      <x v="8"/>
    </i>
    <i>
      <x v="6"/>
    </i>
    <i r="1">
      <x v="1"/>
    </i>
    <i r="1">
      <x v="13"/>
    </i>
    <i>
      <x v="7"/>
    </i>
    <i r="1">
      <x v="6"/>
    </i>
    <i r="1">
      <x v="7"/>
    </i>
    <i r="1">
      <x v="13"/>
    </i>
    <i>
      <x v="8"/>
    </i>
    <i r="1">
      <x v="13"/>
    </i>
    <i>
      <x v="9"/>
    </i>
    <i r="1">
      <x v="13"/>
    </i>
    <i>
      <x v="11"/>
    </i>
    <i r="1">
      <x v="10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399BD-3601-4B8F-9FB3-E5D2AE372291}" name="PivotTable1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6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dataField="1" numFmtId="4" showAll="0"/>
    <pivotField axis="axisRow" showAll="0">
      <items count="12">
        <item x="4"/>
        <item x="5"/>
        <item x="6"/>
        <item x="1"/>
        <item x="9"/>
        <item x="7"/>
        <item x="2"/>
        <item x="0"/>
        <item x="3"/>
        <item x="8"/>
        <item x="10"/>
        <item t="default"/>
      </items>
    </pivotField>
    <pivotField axis="axisRow" showAll="0">
      <items count="21">
        <item x="4"/>
        <item x="5"/>
        <item x="1"/>
        <item x="3"/>
        <item x="7"/>
        <item x="14"/>
        <item x="12"/>
        <item x="13"/>
        <item x="8"/>
        <item x="10"/>
        <item m="1" x="19"/>
        <item x="15"/>
        <item x="2"/>
        <item x="9"/>
        <item x="6"/>
        <item x="11"/>
        <item x="17"/>
        <item x="0"/>
        <item m="1" x="18"/>
        <item x="16"/>
        <item t="default"/>
      </items>
    </pivotField>
    <pivotField showAll="0"/>
  </pivotFields>
  <rowFields count="2">
    <field x="7"/>
    <field x="8"/>
  </rowFields>
  <rowItems count="33">
    <i>
      <x/>
    </i>
    <i r="1">
      <x/>
    </i>
    <i>
      <x v="1"/>
    </i>
    <i r="1">
      <x v="5"/>
    </i>
    <i r="1">
      <x v="14"/>
    </i>
    <i>
      <x v="2"/>
    </i>
    <i r="1">
      <x v="6"/>
    </i>
    <i r="1">
      <x v="13"/>
    </i>
    <i>
      <x v="3"/>
    </i>
    <i r="1">
      <x v="1"/>
    </i>
    <i r="1">
      <x v="2"/>
    </i>
    <i r="1">
      <x v="4"/>
    </i>
    <i r="1">
      <x v="7"/>
    </i>
    <i r="1">
      <x v="12"/>
    </i>
    <i>
      <x v="4"/>
    </i>
    <i r="1">
      <x/>
    </i>
    <i>
      <x v="5"/>
    </i>
    <i r="1">
      <x v="9"/>
    </i>
    <i>
      <x v="6"/>
    </i>
    <i r="1">
      <x v="17"/>
    </i>
    <i>
      <x v="7"/>
    </i>
    <i r="1">
      <x v="8"/>
    </i>
    <i r="1">
      <x v="17"/>
    </i>
    <i>
      <x v="8"/>
    </i>
    <i r="1">
      <x v="3"/>
    </i>
    <i r="1">
      <x v="17"/>
    </i>
    <i>
      <x v="9"/>
    </i>
    <i r="1">
      <x v="11"/>
    </i>
    <i r="1">
      <x v="15"/>
    </i>
    <i r="1">
      <x v="16"/>
    </i>
    <i>
      <x v="10"/>
    </i>
    <i r="1">
      <x v="19"/>
    </i>
    <i t="grand">
      <x/>
    </i>
  </rowItems>
  <colItems count="1">
    <i/>
  </colItems>
  <pageFields count="1">
    <pageField fld="5" item="0" hier="-1"/>
  </pageFields>
  <dataFields count="1">
    <dataField name="Sum of Importo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28A4B-38FA-42B4-8D3F-551C638F20CC}" name="PivotTable1" cacheId="104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3:B32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dataField="1" numFmtId="4" showAll="0"/>
    <pivotField axis="axisRow" showAll="0">
      <items count="10">
        <item x="3"/>
        <item m="1" x="8"/>
        <item x="4"/>
        <item x="1"/>
        <item x="6"/>
        <item x="5"/>
        <item x="0"/>
        <item x="2"/>
        <item x="7"/>
        <item t="default"/>
      </items>
    </pivotField>
    <pivotField axis="axisRow" showAll="0">
      <items count="21">
        <item x="6"/>
        <item x="3"/>
        <item x="7"/>
        <item x="13"/>
        <item m="1" x="18"/>
        <item x="5"/>
        <item x="10"/>
        <item x="15"/>
        <item x="17"/>
        <item x="1"/>
        <item x="9"/>
        <item x="12"/>
        <item x="11"/>
        <item m="1" x="19"/>
        <item x="8"/>
        <item x="14"/>
        <item x="4"/>
        <item x="0"/>
        <item x="2"/>
        <item x="16"/>
        <item t="default"/>
      </items>
    </pivotField>
    <pivotField showAll="0"/>
  </pivotFields>
  <rowFields count="2">
    <field x="7"/>
    <field x="8"/>
  </rowFields>
  <rowItems count="29">
    <i>
      <x/>
    </i>
    <i r="1">
      <x/>
    </i>
    <i>
      <x v="2"/>
    </i>
    <i r="1">
      <x v="7"/>
    </i>
    <i r="1">
      <x v="14"/>
    </i>
    <i>
      <x v="3"/>
    </i>
    <i r="1">
      <x v="2"/>
    </i>
    <i r="1">
      <x v="5"/>
    </i>
    <i r="1">
      <x v="8"/>
    </i>
    <i r="1">
      <x v="17"/>
    </i>
    <i r="1">
      <x v="18"/>
    </i>
    <i>
      <x v="4"/>
    </i>
    <i r="1">
      <x/>
    </i>
    <i>
      <x v="5"/>
    </i>
    <i r="1">
      <x v="12"/>
    </i>
    <i>
      <x v="6"/>
    </i>
    <i r="1">
      <x v="1"/>
    </i>
    <i r="1">
      <x v="3"/>
    </i>
    <i r="1">
      <x v="6"/>
    </i>
    <i r="1">
      <x v="9"/>
    </i>
    <i r="1">
      <x v="11"/>
    </i>
    <i r="1">
      <x v="17"/>
    </i>
    <i>
      <x v="7"/>
    </i>
    <i r="1">
      <x v="10"/>
    </i>
    <i r="1">
      <x v="15"/>
    </i>
    <i r="1">
      <x v="16"/>
    </i>
    <i>
      <x v="8"/>
    </i>
    <i r="1">
      <x v="19"/>
    </i>
    <i t="grand">
      <x/>
    </i>
  </rowItems>
  <colItems count="1">
    <i/>
  </colItems>
  <pageFields count="1">
    <pageField fld="5" hier="-1"/>
  </pageFields>
  <dataFields count="1">
    <dataField name="Sum of Importo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3D658-2C81-4BBF-B0AD-27EEB6008697}" name="PivotTable2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 rowPageCount="1" colPageCount="1"/>
  <pivotFields count="10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4">
        <item x="6"/>
        <item x="2"/>
        <item x="4"/>
        <item x="0"/>
        <item x="11"/>
        <item x="8"/>
        <item x="9"/>
        <item x="3"/>
        <item x="10"/>
        <item x="5"/>
        <item x="7"/>
        <item x="1"/>
        <item x="12"/>
        <item t="default"/>
      </items>
    </pivotField>
    <pivotField axis="axisRow" showAll="0">
      <items count="23">
        <item x="8"/>
        <item x="18"/>
        <item x="13"/>
        <item x="0"/>
        <item x="9"/>
        <item x="6"/>
        <item x="12"/>
        <item x="16"/>
        <item x="5"/>
        <item x="11"/>
        <item x="10"/>
        <item x="3"/>
        <item m="1" x="21"/>
        <item x="15"/>
        <item x="4"/>
        <item x="2"/>
        <item x="17"/>
        <item x="19"/>
        <item x="1"/>
        <item x="7"/>
        <item x="14"/>
        <item x="20"/>
        <item t="default"/>
      </items>
    </pivotField>
    <pivotField showAll="0"/>
  </pivotFields>
  <rowFields count="2">
    <field x="7"/>
    <field x="8"/>
  </rowFields>
  <rowItems count="31">
    <i>
      <x/>
    </i>
    <i r="1">
      <x/>
    </i>
    <i>
      <x v="1"/>
    </i>
    <i r="1">
      <x v="15"/>
    </i>
    <i>
      <x v="2"/>
    </i>
    <i r="1">
      <x v="14"/>
    </i>
    <i>
      <x v="3"/>
    </i>
    <i r="1">
      <x v="2"/>
    </i>
    <i r="1">
      <x v="3"/>
    </i>
    <i r="1">
      <x v="7"/>
    </i>
    <i r="1">
      <x v="13"/>
    </i>
    <i r="1">
      <x v="19"/>
    </i>
    <i r="1">
      <x v="20"/>
    </i>
    <i>
      <x v="5"/>
    </i>
    <i r="1">
      <x/>
    </i>
    <i>
      <x v="7"/>
    </i>
    <i r="1">
      <x v="6"/>
    </i>
    <i r="1">
      <x v="11"/>
    </i>
    <i r="1">
      <x v="16"/>
    </i>
    <i r="1">
      <x v="17"/>
    </i>
    <i>
      <x v="8"/>
    </i>
    <i r="1">
      <x v="1"/>
    </i>
    <i>
      <x v="9"/>
    </i>
    <i r="1">
      <x v="8"/>
    </i>
    <i r="1">
      <x v="10"/>
    </i>
    <i>
      <x v="11"/>
    </i>
    <i r="1">
      <x v="9"/>
    </i>
    <i r="1">
      <x v="18"/>
    </i>
    <i>
      <x v="12"/>
    </i>
    <i r="1">
      <x v="21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B8B66-1CF5-4B0A-B6DC-3A688B75D2A6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2">
        <item x="6"/>
        <item x="1"/>
        <item x="7"/>
        <item x="4"/>
        <item x="9"/>
        <item x="10"/>
        <item x="3"/>
        <item x="8"/>
        <item x="2"/>
        <item x="5"/>
        <item x="0"/>
        <item t="default"/>
      </items>
    </pivotField>
    <pivotField axis="axisRow" showAll="0">
      <items count="21">
        <item x="6"/>
        <item x="9"/>
        <item x="10"/>
        <item x="4"/>
        <item x="2"/>
        <item x="14"/>
        <item x="3"/>
        <item x="16"/>
        <item x="12"/>
        <item x="18"/>
        <item x="17"/>
        <item x="8"/>
        <item x="13"/>
        <item x="5"/>
        <item x="7"/>
        <item x="11"/>
        <item x="19"/>
        <item x="1"/>
        <item x="15"/>
        <item x="0"/>
        <item t="default"/>
      </items>
    </pivotField>
    <pivotField showAll="0"/>
    <pivotField showAll="0"/>
  </pivotFields>
  <rowFields count="2">
    <field x="7"/>
    <field x="8"/>
  </rowFields>
  <rowItems count="35">
    <i>
      <x/>
    </i>
    <i r="1">
      <x/>
    </i>
    <i>
      <x v="1"/>
    </i>
    <i r="1">
      <x v="7"/>
    </i>
    <i r="1">
      <x v="17"/>
    </i>
    <i>
      <x v="2"/>
    </i>
    <i r="1">
      <x v="8"/>
    </i>
    <i r="1">
      <x v="14"/>
    </i>
    <i>
      <x v="3"/>
    </i>
    <i r="1">
      <x v="2"/>
    </i>
    <i r="1">
      <x v="3"/>
    </i>
    <i r="1">
      <x v="18"/>
    </i>
    <i>
      <x v="4"/>
    </i>
    <i r="1">
      <x/>
    </i>
    <i>
      <x v="5"/>
    </i>
    <i r="1">
      <x/>
    </i>
    <i>
      <x v="6"/>
    </i>
    <i r="1">
      <x v="6"/>
    </i>
    <i r="1">
      <x v="9"/>
    </i>
    <i r="1">
      <x v="11"/>
    </i>
    <i r="1">
      <x v="15"/>
    </i>
    <i>
      <x v="7"/>
    </i>
    <i r="1">
      <x v="1"/>
    </i>
    <i r="1">
      <x v="5"/>
    </i>
    <i r="1">
      <x v="17"/>
    </i>
    <i>
      <x v="8"/>
    </i>
    <i r="1">
      <x v="4"/>
    </i>
    <i r="1">
      <x v="17"/>
    </i>
    <i>
      <x v="9"/>
    </i>
    <i r="1">
      <x v="10"/>
    </i>
    <i r="1">
      <x v="13"/>
    </i>
    <i r="1">
      <x v="16"/>
    </i>
    <i>
      <x v="10"/>
    </i>
    <i r="1">
      <x v="19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5A225-16C9-4279-A924-C914F8A9A685}" name="PivotTable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Row" showAll="0">
      <items count="15">
        <item x="12"/>
        <item x="2"/>
        <item x="6"/>
        <item x="3"/>
        <item x="11"/>
        <item x="13"/>
        <item x="10"/>
        <item x="7"/>
        <item x="5"/>
        <item x="4"/>
        <item x="9"/>
        <item x="0"/>
        <item x="8"/>
        <item x="1"/>
        <item t="default"/>
      </items>
    </pivotField>
    <pivotField axis="axisRow" showAll="0">
      <items count="23">
        <item x="20"/>
        <item x="19"/>
        <item x="16"/>
        <item x="10"/>
        <item x="1"/>
        <item x="17"/>
        <item x="6"/>
        <item x="7"/>
        <item x="13"/>
        <item x="15"/>
        <item x="11"/>
        <item m="1" x="21"/>
        <item x="12"/>
        <item x="0"/>
        <item x="14"/>
        <item x="9"/>
        <item x="3"/>
        <item x="4"/>
        <item x="18"/>
        <item x="8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2">
    <field x="6"/>
    <field x="7"/>
  </rowFields>
  <rowItems count="41">
    <i>
      <x/>
    </i>
    <i r="1">
      <x/>
    </i>
    <i>
      <x v="1"/>
    </i>
    <i r="1">
      <x v="16"/>
    </i>
    <i r="1">
      <x v="20"/>
    </i>
    <i>
      <x v="2"/>
    </i>
    <i r="1">
      <x v="5"/>
    </i>
    <i r="1">
      <x v="15"/>
    </i>
    <i>
      <x v="3"/>
    </i>
    <i r="1">
      <x v="2"/>
    </i>
    <i r="1">
      <x v="3"/>
    </i>
    <i r="1">
      <x v="6"/>
    </i>
    <i r="1">
      <x v="14"/>
    </i>
    <i r="1">
      <x v="17"/>
    </i>
    <i r="1">
      <x v="19"/>
    </i>
    <i r="1">
      <x v="20"/>
    </i>
    <i>
      <x v="4"/>
    </i>
    <i r="1">
      <x/>
    </i>
    <i>
      <x v="5"/>
    </i>
    <i r="1">
      <x/>
    </i>
    <i>
      <x v="6"/>
    </i>
    <i r="1">
      <x/>
    </i>
    <i>
      <x v="7"/>
    </i>
    <i r="1">
      <x v="10"/>
    </i>
    <i>
      <x v="8"/>
    </i>
    <i r="1">
      <x v="1"/>
    </i>
    <i r="1">
      <x v="19"/>
    </i>
    <i>
      <x v="9"/>
    </i>
    <i r="1">
      <x v="7"/>
    </i>
    <i>
      <x v="10"/>
    </i>
    <i r="1">
      <x v="9"/>
    </i>
    <i r="1">
      <x v="19"/>
    </i>
    <i>
      <x v="11"/>
    </i>
    <i r="1">
      <x v="19"/>
    </i>
    <i>
      <x v="12"/>
    </i>
    <i r="1">
      <x v="8"/>
    </i>
    <i r="1">
      <x v="12"/>
    </i>
    <i r="1">
      <x v="18"/>
    </i>
    <i>
      <x v="13"/>
    </i>
    <i r="1">
      <x v="21"/>
    </i>
    <i t="grand">
      <x/>
    </i>
  </rowItems>
  <colItems count="1">
    <i/>
  </colItems>
  <pageFields count="1">
    <pageField fld="8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CC4B6-B730-433E-842A-A1CCBD9AB814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4">
        <item x="4"/>
        <item m="1" x="12"/>
        <item x="1"/>
        <item x="3"/>
        <item x="5"/>
        <item x="9"/>
        <item x="8"/>
        <item x="6"/>
        <item x="2"/>
        <item x="11"/>
        <item x="0"/>
        <item x="7"/>
        <item x="10"/>
        <item t="default"/>
      </items>
    </pivotField>
    <pivotField axis="axisRow" showAll="0">
      <items count="20">
        <item x="6"/>
        <item x="12"/>
        <item x="7"/>
        <item x="11"/>
        <item x="4"/>
        <item x="10"/>
        <item x="13"/>
        <item x="2"/>
        <item x="9"/>
        <item x="17"/>
        <item x="5"/>
        <item m="1" x="18"/>
        <item x="16"/>
        <item x="14"/>
        <item x="8"/>
        <item x="1"/>
        <item x="0"/>
        <item x="3"/>
        <item x="15"/>
        <item t="default"/>
      </items>
    </pivotField>
    <pivotField showAll="0"/>
    <pivotField showAll="0"/>
  </pivotFields>
  <rowFields count="2">
    <field x="7"/>
    <field x="8"/>
  </rowFields>
  <rowItems count="30">
    <i>
      <x/>
    </i>
    <i r="1">
      <x/>
    </i>
    <i>
      <x v="2"/>
    </i>
    <i r="1">
      <x v="6"/>
    </i>
    <i r="1">
      <x v="15"/>
    </i>
    <i>
      <x v="3"/>
    </i>
    <i r="1">
      <x v="2"/>
    </i>
    <i r="1">
      <x v="4"/>
    </i>
    <i r="1">
      <x v="12"/>
    </i>
    <i r="1">
      <x v="17"/>
    </i>
    <i>
      <x v="5"/>
    </i>
    <i r="1">
      <x/>
    </i>
    <i>
      <x v="7"/>
    </i>
    <i r="1">
      <x v="1"/>
    </i>
    <i r="1">
      <x v="3"/>
    </i>
    <i r="1">
      <x v="5"/>
    </i>
    <i r="1">
      <x v="16"/>
    </i>
    <i>
      <x v="8"/>
    </i>
    <i r="1">
      <x v="7"/>
    </i>
    <i r="1">
      <x v="10"/>
    </i>
    <i>
      <x v="9"/>
    </i>
    <i r="1">
      <x v="9"/>
    </i>
    <i>
      <x v="10"/>
    </i>
    <i r="1">
      <x v="16"/>
    </i>
    <i>
      <x v="11"/>
    </i>
    <i r="1">
      <x v="8"/>
    </i>
    <i r="1">
      <x v="14"/>
    </i>
    <i>
      <x v="12"/>
    </i>
    <i r="1">
      <x v="18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A28EC-D0C3-4A17-BF90-24A3FF365260}" name="PivotTable1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:B46" firstHeaderRow="1" firstDataRow="1" firstDataCol="1" rowPageCount="2" colPageCount="1"/>
  <pivotFields count="12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Page" showAll="0">
      <items count="4">
        <item m="1" x="2"/>
        <item x="1"/>
        <item x="0"/>
        <item t="default"/>
      </items>
    </pivotField>
    <pivotField axis="axisRow" showAll="0">
      <items count="16">
        <item x="5"/>
        <item sd="0" m="1" x="14"/>
        <item x="10"/>
        <item x="2"/>
        <item sd="0" m="1" x="13"/>
        <item x="12"/>
        <item x="6"/>
        <item x="0"/>
        <item x="3"/>
        <item x="11"/>
        <item x="8"/>
        <item x="9"/>
        <item x="4"/>
        <item x="7"/>
        <item x="1"/>
        <item t="default"/>
      </items>
    </pivotField>
    <pivotField axis="axisRow" showAll="0">
      <items count="29">
        <item x="7"/>
        <item x="3"/>
        <item x="12"/>
        <item x="2"/>
        <item x="5"/>
        <item x="6"/>
        <item x="14"/>
        <item x="0"/>
        <item m="1" x="26"/>
        <item x="18"/>
        <item x="9"/>
        <item x="22"/>
        <item x="11"/>
        <item x="16"/>
        <item x="13"/>
        <item x="8"/>
        <item x="21"/>
        <item m="1" x="27"/>
        <item x="20"/>
        <item x="15"/>
        <item x="24"/>
        <item x="10"/>
        <item x="17"/>
        <item x="19"/>
        <item x="4"/>
        <item x="23"/>
        <item x="25"/>
        <item x="1"/>
        <item t="default"/>
      </items>
    </pivotField>
    <pivotField showAll="0"/>
    <pivotField showAll="0"/>
  </pivotFields>
  <rowFields count="2">
    <field x="8"/>
    <field x="9"/>
  </rowFields>
  <rowItems count="42">
    <i>
      <x/>
    </i>
    <i r="1">
      <x/>
    </i>
    <i>
      <x v="2"/>
    </i>
    <i r="1">
      <x v="11"/>
    </i>
    <i r="1">
      <x v="13"/>
    </i>
    <i r="1">
      <x v="19"/>
    </i>
    <i r="1">
      <x v="20"/>
    </i>
    <i>
      <x v="3"/>
    </i>
    <i r="1">
      <x v="2"/>
    </i>
    <i r="1">
      <x v="3"/>
    </i>
    <i r="1">
      <x v="4"/>
    </i>
    <i r="1">
      <x v="5"/>
    </i>
    <i r="1">
      <x v="6"/>
    </i>
    <i r="1">
      <x v="9"/>
    </i>
    <i>
      <x v="5"/>
    </i>
    <i r="1">
      <x/>
    </i>
    <i>
      <x v="6"/>
    </i>
    <i r="1">
      <x/>
    </i>
    <i>
      <x v="7"/>
    </i>
    <i r="1">
      <x v="7"/>
    </i>
    <i r="1">
      <x v="14"/>
    </i>
    <i>
      <x v="8"/>
    </i>
    <i r="1">
      <x v="1"/>
    </i>
    <i r="1">
      <x v="24"/>
    </i>
    <i>
      <x v="9"/>
    </i>
    <i r="1">
      <x v="23"/>
    </i>
    <i>
      <x v="10"/>
    </i>
    <i r="1">
      <x v="21"/>
    </i>
    <i>
      <x v="11"/>
    </i>
    <i r="1">
      <x v="12"/>
    </i>
    <i r="1">
      <x v="16"/>
    </i>
    <i>
      <x v="12"/>
    </i>
    <i r="1">
      <x v="24"/>
    </i>
    <i>
      <x v="13"/>
    </i>
    <i r="1">
      <x v="10"/>
    </i>
    <i r="1">
      <x v="18"/>
    </i>
    <i r="1">
      <x v="22"/>
    </i>
    <i r="1">
      <x v="25"/>
    </i>
    <i r="1">
      <x v="26"/>
    </i>
    <i>
      <x v="14"/>
    </i>
    <i r="1">
      <x v="27"/>
    </i>
    <i t="grand">
      <x/>
    </i>
  </rowItems>
  <colItems count="1">
    <i/>
  </colItems>
  <pageFields count="2">
    <pageField fld="6" item="1" hier="-1"/>
    <pageField fld="7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5239D-6315-41AE-A59D-F183A170503B}" name="PivotTable2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9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axis="axisRow" showAll="0">
      <items count="15">
        <item x="7"/>
        <item x="4"/>
        <item x="8"/>
        <item x="5"/>
        <item x="12"/>
        <item x="10"/>
        <item x="9"/>
        <item x="6"/>
        <item x="1"/>
        <item x="2"/>
        <item x="3"/>
        <item x="0"/>
        <item m="1" x="13"/>
        <item x="11"/>
        <item t="default"/>
      </items>
    </pivotField>
    <pivotField axis="axisRow" showAll="0">
      <items count="20">
        <item x="8"/>
        <item x="5"/>
        <item x="4"/>
        <item x="6"/>
        <item x="15"/>
        <item x="9"/>
        <item x="13"/>
        <item x="11"/>
        <item m="1" x="17"/>
        <item x="0"/>
        <item x="10"/>
        <item x="1"/>
        <item x="12"/>
        <item x="7"/>
        <item x="3"/>
        <item x="14"/>
        <item x="2"/>
        <item m="1" x="18"/>
        <item x="16"/>
        <item t="default"/>
      </items>
    </pivotField>
    <pivotField showAll="0"/>
    <pivotField showAll="0"/>
  </pivotFields>
  <rowFields count="2">
    <field x="7"/>
    <field x="8"/>
  </rowFields>
  <rowItems count="36">
    <i>
      <x/>
    </i>
    <i r="1">
      <x/>
    </i>
    <i>
      <x v="1"/>
    </i>
    <i r="1">
      <x v="16"/>
    </i>
    <i>
      <x v="2"/>
    </i>
    <i r="1">
      <x v="5"/>
    </i>
    <i r="1">
      <x v="12"/>
    </i>
    <i>
      <x v="3"/>
    </i>
    <i r="1">
      <x v="1"/>
    </i>
    <i r="1">
      <x v="3"/>
    </i>
    <i r="1">
      <x v="16"/>
    </i>
    <i>
      <x v="4"/>
    </i>
    <i r="1">
      <x/>
    </i>
    <i>
      <x v="5"/>
    </i>
    <i r="1">
      <x/>
    </i>
    <i>
      <x v="6"/>
    </i>
    <i r="1">
      <x/>
    </i>
    <i>
      <x v="7"/>
    </i>
    <i r="1">
      <x v="4"/>
    </i>
    <i r="1">
      <x v="7"/>
    </i>
    <i r="1">
      <x v="13"/>
    </i>
    <i>
      <x v="8"/>
    </i>
    <i r="1">
      <x v="6"/>
    </i>
    <i r="1">
      <x v="16"/>
    </i>
    <i>
      <x v="9"/>
    </i>
    <i r="1">
      <x v="14"/>
    </i>
    <i>
      <x v="10"/>
    </i>
    <i r="1">
      <x v="2"/>
    </i>
    <i r="1">
      <x v="16"/>
    </i>
    <i>
      <x v="11"/>
    </i>
    <i r="1">
      <x v="9"/>
    </i>
    <i r="1">
      <x v="11"/>
    </i>
    <i r="1">
      <x v="15"/>
    </i>
    <i>
      <x v="13"/>
    </i>
    <i r="1">
      <x v="18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616BD-3550-40E2-A461-3AB1F605C6C0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45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4">
        <item x="8"/>
        <item x="10"/>
        <item x="5"/>
        <item x="3"/>
        <item x="4"/>
        <item x="11"/>
        <item x="9"/>
        <item x="7"/>
        <item x="2"/>
        <item x="0"/>
        <item x="6"/>
        <item x="1"/>
        <item x="12"/>
        <item t="default"/>
      </items>
    </pivotField>
    <pivotField axis="axisRow" showAll="0">
      <items count="28">
        <item x="5"/>
        <item x="13"/>
        <item x="14"/>
        <item x="4"/>
        <item x="11"/>
        <item x="8"/>
        <item x="24"/>
        <item x="23"/>
        <item x="7"/>
        <item x="22"/>
        <item x="2"/>
        <item x="21"/>
        <item x="1"/>
        <item x="9"/>
        <item x="16"/>
        <item m="1" x="26"/>
        <item x="17"/>
        <item x="0"/>
        <item x="20"/>
        <item x="10"/>
        <item x="6"/>
        <item x="19"/>
        <item x="3"/>
        <item x="18"/>
        <item x="15"/>
        <item x="12"/>
        <item x="25"/>
        <item t="default"/>
      </items>
    </pivotField>
    <pivotField showAll="0"/>
    <pivotField showAll="0"/>
  </pivotFields>
  <rowFields count="2">
    <field x="7"/>
    <field x="8"/>
  </rowFields>
  <rowItems count="42">
    <i>
      <x/>
    </i>
    <i r="1">
      <x/>
    </i>
    <i>
      <x v="1"/>
    </i>
    <i r="1">
      <x v="21"/>
    </i>
    <i>
      <x v="2"/>
    </i>
    <i r="1">
      <x v="8"/>
    </i>
    <i r="1">
      <x v="20"/>
    </i>
    <i>
      <x v="3"/>
    </i>
    <i r="1">
      <x v="2"/>
    </i>
    <i r="1">
      <x v="3"/>
    </i>
    <i r="1">
      <x v="5"/>
    </i>
    <i r="1">
      <x v="6"/>
    </i>
    <i r="1">
      <x v="9"/>
    </i>
    <i r="1">
      <x v="18"/>
    </i>
    <i r="1">
      <x v="25"/>
    </i>
    <i>
      <x v="4"/>
    </i>
    <i r="1">
      <x/>
    </i>
    <i>
      <x v="5"/>
    </i>
    <i r="1">
      <x/>
    </i>
    <i>
      <x v="6"/>
    </i>
    <i r="1">
      <x v="7"/>
    </i>
    <i r="1">
      <x v="14"/>
    </i>
    <i>
      <x v="7"/>
    </i>
    <i r="1">
      <x v="1"/>
    </i>
    <i r="1">
      <x v="11"/>
    </i>
    <i r="1">
      <x v="25"/>
    </i>
    <i>
      <x v="8"/>
    </i>
    <i r="1">
      <x v="10"/>
    </i>
    <i r="1">
      <x v="13"/>
    </i>
    <i r="1">
      <x v="22"/>
    </i>
    <i>
      <x v="9"/>
    </i>
    <i r="1">
      <x v="17"/>
    </i>
    <i>
      <x v="10"/>
    </i>
    <i r="1">
      <x v="4"/>
    </i>
    <i>
      <x v="11"/>
    </i>
    <i r="1">
      <x v="12"/>
    </i>
    <i r="1">
      <x v="19"/>
    </i>
    <i r="1">
      <x v="23"/>
    </i>
    <i r="1">
      <x v="24"/>
    </i>
    <i>
      <x v="12"/>
    </i>
    <i r="1">
      <x v="26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013A9-C8C5-4961-A7B8-2A61FBE60874}" name="PivotTable1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41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3">
        <item x="7"/>
        <item x="9"/>
        <item x="6"/>
        <item x="4"/>
        <item x="10"/>
        <item x="11"/>
        <item x="1"/>
        <item x="2"/>
        <item x="8"/>
        <item x="5"/>
        <item x="3"/>
        <item x="0"/>
        <item t="default"/>
      </items>
    </pivotField>
    <pivotField axis="axisRow" showAll="0">
      <items count="24">
        <item x="14"/>
        <item x="2"/>
        <item x="17"/>
        <item x="12"/>
        <item x="6"/>
        <item x="8"/>
        <item x="18"/>
        <item x="7"/>
        <item x="19"/>
        <item x="10"/>
        <item x="21"/>
        <item x="13"/>
        <item x="4"/>
        <item x="1"/>
        <item x="3"/>
        <item x="20"/>
        <item x="16"/>
        <item x="15"/>
        <item x="22"/>
        <item x="11"/>
        <item x="5"/>
        <item x="9"/>
        <item x="0"/>
        <item t="default"/>
      </items>
    </pivotField>
    <pivotField showAll="0"/>
    <pivotField showAll="0"/>
  </pivotFields>
  <rowFields count="2">
    <field x="7"/>
    <field x="8"/>
  </rowFields>
  <rowItems count="38">
    <i>
      <x/>
    </i>
    <i r="1">
      <x/>
    </i>
    <i>
      <x v="2"/>
    </i>
    <i r="1">
      <x v="9"/>
    </i>
    <i r="1">
      <x v="19"/>
    </i>
    <i>
      <x v="3"/>
    </i>
    <i r="1">
      <x v="2"/>
    </i>
    <i r="1">
      <x v="4"/>
    </i>
    <i r="1">
      <x v="6"/>
    </i>
    <i r="1">
      <x v="7"/>
    </i>
    <i r="1">
      <x v="16"/>
    </i>
    <i>
      <x v="4"/>
    </i>
    <i r="1">
      <x/>
    </i>
    <i>
      <x v="5"/>
    </i>
    <i r="1">
      <x/>
    </i>
    <i>
      <x v="6"/>
    </i>
    <i r="1">
      <x v="8"/>
    </i>
    <i r="1">
      <x v="13"/>
    </i>
    <i>
      <x v="7"/>
    </i>
    <i r="1">
      <x v="1"/>
    </i>
    <i r="1">
      <x v="3"/>
    </i>
    <i r="1">
      <x v="11"/>
    </i>
    <i r="1">
      <x v="21"/>
    </i>
    <i>
      <x v="8"/>
    </i>
    <i r="1">
      <x v="10"/>
    </i>
    <i>
      <x v="9"/>
    </i>
    <i r="1">
      <x v="5"/>
    </i>
    <i r="1">
      <x v="21"/>
    </i>
    <i>
      <x v="10"/>
    </i>
    <i r="1">
      <x v="12"/>
    </i>
    <i r="1">
      <x v="14"/>
    </i>
    <i r="1">
      <x v="17"/>
    </i>
    <i r="1">
      <x v="18"/>
    </i>
    <i r="1">
      <x v="20"/>
    </i>
    <i r="1">
      <x v="21"/>
    </i>
    <i>
      <x v="11"/>
    </i>
    <i r="1">
      <x v="22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2A2BF-254D-4D5D-A7F1-A1E478906FEC}" name="PivotTable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7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5">
        <item x="1"/>
        <item m="1" x="11"/>
        <item x="2"/>
        <item x="4"/>
        <item m="1" x="13"/>
        <item x="7"/>
        <item x="9"/>
        <item x="8"/>
        <item x="5"/>
        <item m="1" x="12"/>
        <item x="10"/>
        <item x="3"/>
        <item x="6"/>
        <item x="0"/>
        <item t="default"/>
      </items>
    </pivotField>
    <pivotField axis="axisRow" showAll="0">
      <items count="23">
        <item x="1"/>
        <item x="5"/>
        <item x="12"/>
        <item x="6"/>
        <item x="16"/>
        <item x="2"/>
        <item x="14"/>
        <item m="1" x="20"/>
        <item x="15"/>
        <item m="1" x="19"/>
        <item x="8"/>
        <item x="7"/>
        <item x="3"/>
        <item x="17"/>
        <item x="18"/>
        <item x="9"/>
        <item m="1" x="21"/>
        <item x="11"/>
        <item x="10"/>
        <item x="13"/>
        <item x="4"/>
        <item x="0"/>
        <item t="default"/>
      </items>
    </pivotField>
    <pivotField showAll="0"/>
    <pivotField showAll="0"/>
  </pivotFields>
  <rowFields count="2">
    <field x="7"/>
    <field x="8"/>
  </rowFields>
  <rowItems count="34">
    <i>
      <x/>
    </i>
    <i r="1">
      <x/>
    </i>
    <i>
      <x v="2"/>
    </i>
    <i r="1">
      <x v="5"/>
    </i>
    <i r="1">
      <x v="15"/>
    </i>
    <i>
      <x v="3"/>
    </i>
    <i r="1">
      <x v="2"/>
    </i>
    <i r="1">
      <x v="3"/>
    </i>
    <i r="1">
      <x v="4"/>
    </i>
    <i r="1">
      <x v="6"/>
    </i>
    <i r="1">
      <x v="11"/>
    </i>
    <i r="1">
      <x v="14"/>
    </i>
    <i r="1">
      <x v="19"/>
    </i>
    <i r="1">
      <x v="20"/>
    </i>
    <i>
      <x v="5"/>
    </i>
    <i r="1">
      <x/>
    </i>
    <i>
      <x v="6"/>
    </i>
    <i r="1">
      <x/>
    </i>
    <i>
      <x v="7"/>
    </i>
    <i r="1">
      <x v="8"/>
    </i>
    <i>
      <x v="8"/>
    </i>
    <i r="1">
      <x v="1"/>
    </i>
    <i r="1">
      <x v="18"/>
    </i>
    <i>
      <x v="10"/>
    </i>
    <i r="1">
      <x v="13"/>
    </i>
    <i>
      <x v="11"/>
    </i>
    <i r="1">
      <x v="18"/>
    </i>
    <i>
      <x v="12"/>
    </i>
    <i r="1">
      <x v="10"/>
    </i>
    <i r="1">
      <x v="17"/>
    </i>
    <i r="1">
      <x v="18"/>
    </i>
    <i>
      <x v="13"/>
    </i>
    <i r="1">
      <x v="21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45359-194F-4097-AFF2-2604463443E3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3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dataField="1" numFmtId="4" showAll="0"/>
    <pivotField axis="axisPage" showAll="0">
      <items count="3">
        <item x="1"/>
        <item x="0"/>
        <item t="default"/>
      </items>
    </pivotField>
    <pivotField axis="axisRow" showAll="0">
      <items count="12">
        <item x="4"/>
        <item x="5"/>
        <item x="7"/>
        <item x="0"/>
        <item x="9"/>
        <item x="3"/>
        <item x="1"/>
        <item x="2"/>
        <item x="8"/>
        <item x="6"/>
        <item x="10"/>
        <item t="default"/>
      </items>
    </pivotField>
    <pivotField axis="axisRow" showAll="0">
      <items count="18">
        <item x="6"/>
        <item x="10"/>
        <item x="9"/>
        <item x="4"/>
        <item x="3"/>
        <item m="1" x="16"/>
        <item x="1"/>
        <item x="8"/>
        <item x="5"/>
        <item x="11"/>
        <item x="12"/>
        <item x="13"/>
        <item x="2"/>
        <item x="7"/>
        <item x="14"/>
        <item x="0"/>
        <item x="15"/>
        <item t="default"/>
      </items>
    </pivotField>
    <pivotField showAll="0"/>
    <pivotField showAll="0"/>
  </pivotFields>
  <rowFields count="2">
    <field x="7"/>
    <field x="8"/>
  </rowFields>
  <rowItems count="30">
    <i>
      <x/>
    </i>
    <i r="1">
      <x/>
    </i>
    <i>
      <x v="1"/>
    </i>
    <i r="1">
      <x v="11"/>
    </i>
    <i r="1">
      <x v="14"/>
    </i>
    <i>
      <x v="2"/>
    </i>
    <i r="1">
      <x v="10"/>
    </i>
    <i>
      <x v="3"/>
    </i>
    <i r="1">
      <x v="2"/>
    </i>
    <i r="1">
      <x v="3"/>
    </i>
    <i r="1">
      <x v="4"/>
    </i>
    <i r="1">
      <x v="13"/>
    </i>
    <i r="1">
      <x v="15"/>
    </i>
    <i>
      <x v="4"/>
    </i>
    <i r="1">
      <x/>
    </i>
    <i>
      <x v="5"/>
    </i>
    <i r="1">
      <x v="8"/>
    </i>
    <i>
      <x v="6"/>
    </i>
    <i r="1">
      <x v="1"/>
    </i>
    <i r="1">
      <x v="6"/>
    </i>
    <i>
      <x v="7"/>
    </i>
    <i r="1">
      <x v="7"/>
    </i>
    <i r="1">
      <x v="12"/>
    </i>
    <i>
      <x v="8"/>
    </i>
    <i r="1">
      <x v="13"/>
    </i>
    <i>
      <x v="9"/>
    </i>
    <i r="1">
      <x v="9"/>
    </i>
    <i>
      <x v="10"/>
    </i>
    <i r="1">
      <x v="16"/>
    </i>
    <i t="grand">
      <x/>
    </i>
  </rowItems>
  <colItems count="1">
    <i/>
  </colItems>
  <pageFields count="1">
    <pageField fld="6" item="1" hier="-1"/>
  </pageFields>
  <dataFields count="1">
    <dataField name="Sum of Importo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89124B-EA68-4176-8FEE-6CA2B4C905E6}" name="Table37" displayName="Table37" ref="H9:M14" totalsRowShown="0">
  <autoFilter ref="H9:M14" xr:uid="{3589124B-EA68-4176-8FEE-6CA2B4C905E6}"/>
  <tableColumns count="6">
    <tableColumn id="1" xr3:uid="{C1561CAE-48F0-4245-BC45-85D3E1A66A76}" name="Mese" dataDxfId="235"/>
    <tableColumn id="2" xr3:uid="{54575817-CC37-425D-8EC8-A7B9692E5BCD}" name="Entrate" dataDxfId="234"/>
    <tableColumn id="3" xr3:uid="{7821369D-97B8-4C69-8135-691367F6013A}" name="Uscite" dataDxfId="233"/>
    <tableColumn id="4" xr3:uid="{477D8738-6CD3-4746-AF61-F25F9DB3296D}" name="Tot" dataDxfId="232">
      <calculatedColumnFormula>Table37[[#This Row],[Entrate]]-Table37[[#This Row],[Uscite]]</calculatedColumnFormula>
    </tableColumn>
    <tableColumn id="5" xr3:uid="{98410548-3433-4197-B2A2-E19D42BC0524}" name="Delta Budget" dataDxfId="231">
      <calculatedColumnFormula>Table37[[#This Row],[Tot]]-$B$2</calculatedColumnFormula>
    </tableColumn>
    <tableColumn id="10" xr3:uid="{C4F81CD6-DE9D-4C7B-85EE-6093644A2D99}" name="Delta budget  invest" dataDxfId="230">
      <calculatedColumnFormula>Table37[[#This Row],[Delta Budget]]-$C$22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60D469-F2BF-406C-89EF-63C1E5EFD017}" name="Table2" displayName="Table2" ref="A1:J58" totalsRowShown="0" headerRowDxfId="229" dataDxfId="227" headerRowBorderDxfId="228" tableBorderDxfId="226" totalsRowBorderDxfId="225">
  <autoFilter ref="A1:J58" xr:uid="{2160D469-F2BF-406C-89EF-63C1E5EFD017}"/>
  <sortState xmlns:xlrd2="http://schemas.microsoft.com/office/spreadsheetml/2017/richdata2" ref="A2:J58">
    <sortCondition ref="B1:B58"/>
  </sortState>
  <tableColumns count="10">
    <tableColumn id="1" xr3:uid="{96654FE8-1B2D-4AD5-942A-A0523826106A}" name="Codice identificativo" dataDxfId="224" totalsRowDxfId="223"/>
    <tableColumn id="2" xr3:uid="{1970A5EC-F8CD-43D1-9949-C2DA7037507F}" name="Data operazione" dataDxfId="222" totalsRowDxfId="221"/>
    <tableColumn id="3" xr3:uid="{000E1276-75E3-478A-89F0-6B12576F551A}" name="Data valuta" dataDxfId="220" totalsRowDxfId="219"/>
    <tableColumn id="4" xr3:uid="{81A82D73-9ED6-4304-A8E1-FDDF42F75BD1}" name="Descrizione" dataDxfId="218" totalsRowDxfId="217"/>
    <tableColumn id="5" xr3:uid="{4FF4A41A-0C49-4C31-9F62-1018FCBF0072}" name="Divisa" dataDxfId="216" totalsRowDxfId="215"/>
    <tableColumn id="6" xr3:uid="{C6B40710-AC65-40FF-A30F-B74A6710BA7B}" name="Importo" dataDxfId="214" totalsRowDxfId="213"/>
    <tableColumn id="10" xr3:uid="{E7036472-8EED-4A66-BC15-87300B35B37B}" name="Escluso" dataDxfId="212" totalsRowDxfId="211"/>
    <tableColumn id="7" xr3:uid="{847ED27A-0D89-425A-882B-818ED33648F6}" name="Categoria" dataDxfId="210" totalsRowDxfId="209"/>
    <tableColumn id="8" xr3:uid="{90290B84-D4EA-4BB2-B3AF-1E9B8685AA15}" name="Sottocategoria" dataDxfId="208" totalsRowDxfId="207"/>
    <tableColumn id="9" xr3:uid="{18615485-C059-4306-825E-D89D4EE8C72A}" name="Etichette" dataDxfId="206" totalsRowDxfId="2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F7590-B3EA-4389-9BA9-D0927B0AD8DE}" name="Table1" displayName="Table1" ref="A1:J57" totalsRowShown="0" headerRowDxfId="204" dataDxfId="202" headerRowBorderDxfId="203" tableBorderDxfId="201" totalsRowBorderDxfId="200">
  <autoFilter ref="A1:J57" xr:uid="{0C3F7590-B3EA-4389-9BA9-D0927B0AD8DE}"/>
  <sortState xmlns:xlrd2="http://schemas.microsoft.com/office/spreadsheetml/2017/richdata2" ref="A2:J57">
    <sortCondition ref="B1:B57"/>
  </sortState>
  <tableColumns count="10">
    <tableColumn id="1" xr3:uid="{914B936E-A64D-4AB7-9967-FD2F106019B2}" name="Codice identificativo" dataDxfId="199"/>
    <tableColumn id="2" xr3:uid="{875AAE0D-7B52-4DF8-827D-5D315E6485E4}" name="Data operazione" dataDxfId="198"/>
    <tableColumn id="3" xr3:uid="{865EAD67-8A44-4E89-8C95-91FE238C3EBE}" name="Data valuta" dataDxfId="197"/>
    <tableColumn id="4" xr3:uid="{B21FBD6C-26E1-426D-AC97-8EB7E3F6BA51}" name="Descrizione" dataDxfId="196"/>
    <tableColumn id="5" xr3:uid="{FBBBAD1A-DB46-454F-9D12-3A89CD90C4DC}" name="Divisa" dataDxfId="195"/>
    <tableColumn id="6" xr3:uid="{5BF57D27-964B-4D78-B79D-912B5EDA6BFA}" name="Importo" dataDxfId="194"/>
    <tableColumn id="10" xr3:uid="{52D1E3AD-F217-4E01-83CF-051D3FD3A7CC}" name="Escluso" dataDxfId="193"/>
    <tableColumn id="7" xr3:uid="{36BFD577-1CF3-456E-85E2-1271FE2535B0}" name="Categoria" dataDxfId="192"/>
    <tableColumn id="8" xr3:uid="{8DF17B61-D57F-4A98-8D6B-3F8663828536}" name="Sottocategoria" dataDxfId="191"/>
    <tableColumn id="9" xr3:uid="{B92133C8-85E2-4A25-93A9-D4CEE30B55A5}" name="Etichette" dataDxfId="1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D192ED-F44A-48F4-81C1-88261FE5F879}" name="Table3" displayName="Table3" ref="A1:J38" totalsRowShown="0" headerRowDxfId="189" dataDxfId="187" headerRowBorderDxfId="188" tableBorderDxfId="186" totalsRowBorderDxfId="185">
  <autoFilter ref="A1:J38" xr:uid="{42D192ED-F44A-48F4-81C1-88261FE5F879}"/>
  <sortState xmlns:xlrd2="http://schemas.microsoft.com/office/spreadsheetml/2017/richdata2" ref="A2:J38">
    <sortCondition ref="B1:B38"/>
  </sortState>
  <tableColumns count="10">
    <tableColumn id="1" xr3:uid="{7C875450-6528-4140-9F48-CC99057E1BE2}" name="Codice identificativo" dataDxfId="184"/>
    <tableColumn id="2" xr3:uid="{BA2F3715-ECFF-41A8-A972-6569A574B430}" name="Data operazione" dataDxfId="183"/>
    <tableColumn id="3" xr3:uid="{1CEA6729-0378-4E7B-9043-599C75295CDA}" name="Data valuta" dataDxfId="182"/>
    <tableColumn id="4" xr3:uid="{D1185EBE-2BD8-4AB6-A080-038BD58C5180}" name="Descrizione" dataDxfId="181"/>
    <tableColumn id="5" xr3:uid="{35565B04-7874-4783-9626-FDFD03DF52A1}" name="Divisa" dataDxfId="180"/>
    <tableColumn id="6" xr3:uid="{D7FE36EF-24F8-47C8-86CE-7E8CFF1E0FA3}" name="Importo" dataDxfId="179"/>
    <tableColumn id="10" xr3:uid="{E63D2255-D332-42BF-8785-0BC73728117F}" name="Escluso" dataDxfId="178"/>
    <tableColumn id="7" xr3:uid="{DDF4AB31-9AD3-4086-A6BF-F88C27E394B4}" name="Categoria" dataDxfId="177"/>
    <tableColumn id="8" xr3:uid="{E3AED993-391A-4D40-9B69-081BD77E1E3F}" name="Sottocategoria" dataDxfId="176"/>
    <tableColumn id="9" xr3:uid="{E1D2BEB0-CE24-47C9-8728-B669C31525CB}" name="Etichette" dataDxfId="1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27FF5-0134-4057-89B4-03E41C4E2A6E}" name="Table4" displayName="Table4" ref="A1:J41" totalsRowShown="0" headerRowDxfId="249" dataDxfId="247" headerRowBorderDxfId="248" tableBorderDxfId="246">
  <autoFilter ref="A1:J41" xr:uid="{CB427FF5-0134-4057-89B4-03E41C4E2A6E}"/>
  <sortState xmlns:xlrd2="http://schemas.microsoft.com/office/spreadsheetml/2017/richdata2" ref="A2:J41">
    <sortCondition ref="B1:B41"/>
  </sortState>
  <tableColumns count="10">
    <tableColumn id="1" xr3:uid="{96172048-6230-469D-B325-549AA68B3EC2}" name="Codice identificativo" dataDxfId="245"/>
    <tableColumn id="2" xr3:uid="{E9E3F4A6-9BC9-4E2E-AD89-BF602BD74F44}" name="Data operazione" dataDxfId="244"/>
    <tableColumn id="3" xr3:uid="{9928274E-120B-403A-8809-C061815984B4}" name="Data valuta" dataDxfId="243"/>
    <tableColumn id="4" xr3:uid="{C6365A62-5933-460D-9E57-7B261C18A733}" name="Descrizione" dataDxfId="242"/>
    <tableColumn id="5" xr3:uid="{F269F627-BDFA-4611-A967-6C699110453F}" name="Divisa" dataDxfId="241"/>
    <tableColumn id="6" xr3:uid="{44E1D90E-2048-4E75-B1E2-BB807F34D767}" name="Escludi" dataDxfId="240"/>
    <tableColumn id="7" xr3:uid="{EE434EAA-3144-4C2A-BA82-F027863D4970}" name="Importo" dataDxfId="239"/>
    <tableColumn id="8" xr3:uid="{70C124BB-A7DF-4C97-868A-14FA6A493DAE}" name="Categoria" dataDxfId="238"/>
    <tableColumn id="9" xr3:uid="{D983CA10-B67C-4262-9D4C-7646A159D9D2}" name="Sottocategoria" dataDxfId="237"/>
    <tableColumn id="10" xr3:uid="{552A658A-8511-4C8B-9C99-108B9FB43949}" name="Etichette" dataDxfId="2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7E9004-8068-4701-B849-C9AFEA8B2CF7}" name="Table5" displayName="Table5" ref="A1:J46" totalsRowShown="0" headerRowDxfId="174" dataDxfId="172" headerRowBorderDxfId="173" tableBorderDxfId="171">
  <autoFilter ref="A1:J46" xr:uid="{DA7E9004-8068-4701-B849-C9AFEA8B2CF7}"/>
  <sortState xmlns:xlrd2="http://schemas.microsoft.com/office/spreadsheetml/2017/richdata2" ref="A2:J46">
    <sortCondition ref="B1:B46"/>
  </sortState>
  <tableColumns count="10">
    <tableColumn id="1" xr3:uid="{11DA101B-45D6-4A3E-A8A5-06822C7EE71D}" name="Codice identificativo" dataDxfId="170"/>
    <tableColumn id="2" xr3:uid="{B24B790E-9A24-4C1F-AE7A-5E66EBD2A2EB}" name="Data operazione" dataDxfId="169"/>
    <tableColumn id="3" xr3:uid="{F8BF4027-BA7D-458A-A314-42C00BDD10FD}" name="Data valuta" dataDxfId="168"/>
    <tableColumn id="4" xr3:uid="{DD8961F1-2875-480A-BF45-74C4DD1D3C47}" name="Descrizione" dataDxfId="167"/>
    <tableColumn id="5" xr3:uid="{2ADB0A09-7F91-4A97-940D-AF3B4F574CE7}" name="Divisa" dataDxfId="166"/>
    <tableColumn id="10" xr3:uid="{493EBF31-8FAE-4334-95B7-418837D96F45}" name="Escluso" dataDxfId="165"/>
    <tableColumn id="6" xr3:uid="{1DF5C36F-2CE2-40FE-96EC-A9A0872D3535}" name="Importo" dataDxfId="164"/>
    <tableColumn id="7" xr3:uid="{4BE83090-67E6-4345-9C31-6B18C1D471CB}" name="Categoria" dataDxfId="163"/>
    <tableColumn id="8" xr3:uid="{D591FDC1-E73A-4DA8-ACF1-F8FE30222117}" name="Sottocategoria" dataDxfId="162"/>
    <tableColumn id="9" xr3:uid="{09141A2B-22D2-4CE8-ACA6-730167818B88}" name="Etichette" dataDxfId="16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B973FA-CC91-4D51-86EA-AF4A74397A70}" name="Table8" displayName="Table8" ref="A1:J60" totalsRowShown="0" headerRowDxfId="160" headerRowBorderDxfId="159" tableBorderDxfId="158" totalsRowBorderDxfId="157">
  <autoFilter ref="A1:J60" xr:uid="{2CB973FA-CC91-4D51-86EA-AF4A74397A70}"/>
  <sortState xmlns:xlrd2="http://schemas.microsoft.com/office/spreadsheetml/2017/richdata2" ref="A2:J60">
    <sortCondition ref="B1:B60"/>
  </sortState>
  <tableColumns count="10">
    <tableColumn id="1" xr3:uid="{69E93204-D605-4F5C-81EB-2C1FB56A5DC6}" name="Codice identificativo" dataDxfId="156"/>
    <tableColumn id="2" xr3:uid="{5D7C8FD7-842E-4ED2-B03A-AE8D8AB99320}" name="Data operazione" dataDxfId="155"/>
    <tableColumn id="3" xr3:uid="{A4FF4001-EF2A-4B69-9DC0-763322729FEE}" name="Data valuta" dataDxfId="154"/>
    <tableColumn id="4" xr3:uid="{A2A5DA7A-FD2F-49D3-93FA-AB433F783082}" name="Descrizione" dataDxfId="153"/>
    <tableColumn id="5" xr3:uid="{A9FC814F-A070-457D-BD80-F6CFBE78CA02}" name="Divisa" dataDxfId="152"/>
    <tableColumn id="6" xr3:uid="{8C2727E0-780B-4C6C-A35C-B44740844FE9}" name="Importo" dataDxfId="151"/>
    <tableColumn id="10" xr3:uid="{127EA75B-C36C-4907-9D08-82B50196812A}" name="Escluso" dataDxfId="150"/>
    <tableColumn id="7" xr3:uid="{E9B9640F-3E2E-4C51-B3CC-22ABA512114E}" name="Categoria" dataDxfId="149"/>
    <tableColumn id="8" xr3:uid="{5637FFE3-83FA-41B8-9054-381AF58EF5DF}" name="Sottocategoria" dataDxfId="148"/>
    <tableColumn id="9" xr3:uid="{11E265EA-C491-4502-B766-215C210E45DD}" name="Etichette" dataDxfId="1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2690C4-1038-4EFA-8D56-954D96293464}" name="Table7" displayName="Table7" ref="A1:K50" totalsRowShown="0" headerRowDxfId="146" dataDxfId="144" headerRowBorderDxfId="145" tableBorderDxfId="143" totalsRowBorderDxfId="142">
  <autoFilter ref="A1:K50" xr:uid="{502690C4-1038-4EFA-8D56-954D96293464}"/>
  <sortState xmlns:xlrd2="http://schemas.microsoft.com/office/spreadsheetml/2017/richdata2" ref="A2:K50">
    <sortCondition ref="B1:B50"/>
  </sortState>
  <tableColumns count="11">
    <tableColumn id="1" xr3:uid="{C3216B46-7913-4E95-A972-0C975FBAF50E}" name="Codice identificativo" dataDxfId="141"/>
    <tableColumn id="2" xr3:uid="{D4C41177-AD6B-4E35-87BF-130F49D1EA7D}" name="Data operazione" dataDxfId="140"/>
    <tableColumn id="3" xr3:uid="{21E1572C-B460-4902-987E-7432BD34298B}" name="Data valuta" dataDxfId="139"/>
    <tableColumn id="4" xr3:uid="{8A206190-D15F-4630-B77D-CBEAC6D15720}" name="Descrizione" dataDxfId="138"/>
    <tableColumn id="5" xr3:uid="{82ABE64C-534D-4BED-85F5-1E696F3425EB}" name="Divisa" dataDxfId="137"/>
    <tableColumn id="6" xr3:uid="{0E33F41C-1ADC-4A3E-867E-6345F775700C}" name="Importo" dataDxfId="136"/>
    <tableColumn id="12" xr3:uid="{B12E11FB-3ABC-4AB8-910F-9E654B1B00DE}" name="Escluso" dataDxfId="135"/>
    <tableColumn id="11" xr3:uid="{A01B42F8-7B41-40E6-9F4A-A95D2EF9A352}" name="Categoria" dataDxfId="134"/>
    <tableColumn id="7" xr3:uid="{AF961859-1C64-43CD-9F24-DCF092946060}" name="Sottocategoria" dataDxfId="133"/>
    <tableColumn id="8" xr3:uid="{19BB86D1-CC8A-419B-8D0B-EDCD01E8492F}" name="Etichette" dataDxfId="132"/>
    <tableColumn id="9" xr3:uid="{05218D44-ECF5-4486-B188-F72B71D54DDB}" name="Note" dataDxfId="1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312C9D-3F17-49CC-8CA4-C5CBF3515A4B}" name="Table10" displayName="Table10" ref="A1:K57" totalsRowShown="0" headerRowDxfId="130" dataDxfId="128" headerRowBorderDxfId="129" tableBorderDxfId="127" totalsRowBorderDxfId="126">
  <autoFilter ref="A1:K57" xr:uid="{A6312C9D-3F17-49CC-8CA4-C5CBF3515A4B}"/>
  <sortState xmlns:xlrd2="http://schemas.microsoft.com/office/spreadsheetml/2017/richdata2" ref="A2:K57">
    <sortCondition ref="B1:B57"/>
  </sortState>
  <tableColumns count="11">
    <tableColumn id="1" xr3:uid="{355CDF24-BD09-4600-ACC2-2C4C6B095D11}" name="Codice identificativo" dataDxfId="125"/>
    <tableColumn id="2" xr3:uid="{13B2E5B6-35BC-4307-B046-78EE34722926}" name="Data operazione" dataDxfId="124"/>
    <tableColumn id="3" xr3:uid="{79FF8D19-583B-4887-AA39-FAEC47119FA5}" name="Data valuta" dataDxfId="123"/>
    <tableColumn id="4" xr3:uid="{8843DF84-53C4-4DEC-9D41-60E5CFCC739D}" name="Descrizione" dataDxfId="122"/>
    <tableColumn id="5" xr3:uid="{C7CA13C2-C41E-4F23-98C7-A61940EF953F}" name="Divisa" dataDxfId="121"/>
    <tableColumn id="6" xr3:uid="{8A6B7852-89D3-46A5-A3D4-BD0305BA3274}" name="Importo" dataDxfId="120"/>
    <tableColumn id="7" xr3:uid="{097C6FF4-305E-4241-921C-AE1595A5DD48}" name="Categoria" dataDxfId="119"/>
    <tableColumn id="8" xr3:uid="{FC3D6FA8-D01E-4364-A935-8718527E9A7B}" name="Sottocategoria" dataDxfId="118"/>
    <tableColumn id="11" xr3:uid="{DC1E6B20-88FC-49FA-A622-7204B6E5ED1E}" name="Escludi" dataDxfId="117"/>
    <tableColumn id="9" xr3:uid="{D68E405C-420F-4D93-858A-3BFFE738D0DB}" name="Etichette" dataDxfId="116"/>
    <tableColumn id="10" xr3:uid="{B32C53CB-D0BF-42C8-B05C-69E532F69B1F}" name="Note" dataDxfId="1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B54A17-481B-4115-BCFA-C9B40AC3CA22}" name="Table9" displayName="Table9" ref="A1:K54" totalsRowShown="0" headerRowDxfId="114" dataDxfId="112" headerRowBorderDxfId="113" tableBorderDxfId="111" totalsRowBorderDxfId="110">
  <autoFilter ref="A1:K54" xr:uid="{50B54A17-481B-4115-BCFA-C9B40AC3CA22}"/>
  <sortState xmlns:xlrd2="http://schemas.microsoft.com/office/spreadsheetml/2017/richdata2" ref="A2:K54">
    <sortCondition ref="B1:B54"/>
  </sortState>
  <tableColumns count="11">
    <tableColumn id="1" xr3:uid="{C4FD690B-1F11-414A-86AD-F32A3C7B5694}" name="Codice identificativo" dataDxfId="109"/>
    <tableColumn id="2" xr3:uid="{D7DE40E3-CD41-4404-A077-72F5292C6DAA}" name="Data operazione" dataDxfId="108"/>
    <tableColumn id="3" xr3:uid="{74611C9D-595F-4FB3-B904-502829D39700}" name="Data valuta" dataDxfId="107"/>
    <tableColumn id="4" xr3:uid="{1D143F8A-9989-42F1-B7E8-EE7D2F7EF239}" name="Descrizione" dataDxfId="106"/>
    <tableColumn id="5" xr3:uid="{DA9C44ED-A63C-4B57-99D4-147ABD2AE22F}" name="Divisa" dataDxfId="105"/>
    <tableColumn id="6" xr3:uid="{6CC3C662-AFFF-446C-B723-09E3229CC49F}" name="Importo" dataDxfId="104"/>
    <tableColumn id="11" xr3:uid="{6BC38DA7-0202-4E70-81CF-44F4E11BFCE4}" name="Escluso" dataDxfId="103"/>
    <tableColumn id="7" xr3:uid="{EA1858F6-C02C-461D-A30F-16B2A4AA8B68}" name="Categoria" dataDxfId="102"/>
    <tableColumn id="8" xr3:uid="{C4B2216F-2A16-45DB-B4FA-80789BD91924}" name="Sottocategoria" dataDxfId="101"/>
    <tableColumn id="9" xr3:uid="{456865D4-9B1E-4798-9F21-5867412581CD}" name="Etichette" dataDxfId="100"/>
    <tableColumn id="10" xr3:uid="{7785D240-158A-4609-B3CE-80483ADFE1EB}" name="Note" dataDxfId="9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13C854D-FE20-4EA2-B1CB-3E1E4F7FA9A6}" name="Table11" displayName="Table11" ref="A1:L90" totalsRowShown="0" headerRowDxfId="98" dataDxfId="96" headerRowBorderDxfId="97" tableBorderDxfId="95" totalsRowBorderDxfId="94">
  <autoFilter ref="A1:L90" xr:uid="{613C854D-FE20-4EA2-B1CB-3E1E4F7FA9A6}"/>
  <sortState xmlns:xlrd2="http://schemas.microsoft.com/office/spreadsheetml/2017/richdata2" ref="A2:L90">
    <sortCondition ref="B1:B90"/>
  </sortState>
  <tableColumns count="12">
    <tableColumn id="1" xr3:uid="{9F678490-E2CE-4B00-A30B-95E0F6970902}" name="Codice identificativo" dataDxfId="93"/>
    <tableColumn id="2" xr3:uid="{391ACDC5-EB59-4BE8-9BCF-085E6E23CD71}" name="Data operazione" dataDxfId="92"/>
    <tableColumn id="3" xr3:uid="{D006F264-9950-44D3-AB33-1E6D8CCC1EEC}" name="Data valuta" dataDxfId="91"/>
    <tableColumn id="4" xr3:uid="{233A7AB0-E7A7-4B25-8AF8-666D08F3EC8B}" name="Descrizione" dataDxfId="90"/>
    <tableColumn id="5" xr3:uid="{BAD31CB0-71A4-4DE2-B98F-49CEAD8F8A76}" name="Divisa" dataDxfId="89"/>
    <tableColumn id="6" xr3:uid="{EDEB617B-E705-400C-91F8-3158B81DB7E9}" name="Importo" dataDxfId="88"/>
    <tableColumn id="7" xr3:uid="{7219D2C2-FCDB-49C9-89A2-AC712913095E}" name="Escludi" dataDxfId="87"/>
    <tableColumn id="12" xr3:uid="{0B1C0883-2460-41AF-A8D3-FA4ACF5B9B93}" name="Ferie" dataDxfId="86"/>
    <tableColumn id="8" xr3:uid="{56E556BF-C56A-4D1C-A14F-E70F777681E8}" name="Categoria" dataDxfId="85"/>
    <tableColumn id="9" xr3:uid="{D7A59715-0098-4BCC-B64F-C41269335E5D}" name="Sottocategoria" dataDxfId="84"/>
    <tableColumn id="10" xr3:uid="{D82B871E-D9ED-4017-BD0A-2E7AADA4F2A3}" name="Etichette" dataDxfId="83"/>
    <tableColumn id="11" xr3:uid="{928A86A2-74EA-4E33-972C-D9CA8E9CC255}" name="Note" dataDxfId="8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644ACA-1EB7-457D-B515-7BAB70EC90CD}" name="Table12" displayName="Table12" ref="A1:K54" totalsRowShown="0" headerRowDxfId="81" dataDxfId="79" headerRowBorderDxfId="80" tableBorderDxfId="78" totalsRowBorderDxfId="77">
  <autoFilter ref="A1:K54" xr:uid="{F0644ACA-1EB7-457D-B515-7BAB70EC90CD}"/>
  <sortState xmlns:xlrd2="http://schemas.microsoft.com/office/spreadsheetml/2017/richdata2" ref="A2:K54">
    <sortCondition ref="B1:B54"/>
  </sortState>
  <tableColumns count="11">
    <tableColumn id="1" xr3:uid="{6A201458-305C-4B0D-9ED1-8B1CB3F6C9DA}" name="Codice identificativo" dataDxfId="76"/>
    <tableColumn id="2" xr3:uid="{502C4D2C-3BFB-4972-9B9F-E46E97578DD9}" name="Data operazione" dataDxfId="75"/>
    <tableColumn id="3" xr3:uid="{051DCA1C-2587-425D-8135-58F02ACE1257}" name="Data valuta" dataDxfId="74"/>
    <tableColumn id="4" xr3:uid="{9C7B8864-7B1C-49E8-9267-D610A6F13A27}" name="Descrizione" dataDxfId="73"/>
    <tableColumn id="5" xr3:uid="{0A40CF55-1829-48C3-AB0A-8F3A3C03124C}" name="Divisa" dataDxfId="72"/>
    <tableColumn id="6" xr3:uid="{460A5F19-16CC-493F-8E4A-21CC296B94B2}" name="Importo" dataDxfId="71"/>
    <tableColumn id="11" xr3:uid="{64D0D0BC-7A3A-4A59-9312-12309E593FA2}" name="Escludi" dataDxfId="70"/>
    <tableColumn id="7" xr3:uid="{974C2E76-E07D-4CAA-A425-BFF75B9FE263}" name="Categoria" dataDxfId="69"/>
    <tableColumn id="8" xr3:uid="{57825A3A-B5D3-4343-9095-64EA7B34F8EA}" name="Sottocategoria" dataDxfId="68"/>
    <tableColumn id="9" xr3:uid="{B798915A-F8B9-4065-B3AC-A9251095C8FF}" name="Etichette" dataDxfId="67"/>
    <tableColumn id="10" xr3:uid="{D2D01363-DBA0-4BF9-83A9-384294BB7254}" name="Note" dataDxfId="6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A92B28-90B6-4571-8AB2-4383BEB34303}" name="Table13" displayName="Table13" ref="A1:K52" totalsRowShown="0" headerRowDxfId="65" dataDxfId="63" headerRowBorderDxfId="64" tableBorderDxfId="62" totalsRowBorderDxfId="61">
  <autoFilter ref="A1:K52" xr:uid="{EBA92B28-90B6-4571-8AB2-4383BEB34303}"/>
  <sortState xmlns:xlrd2="http://schemas.microsoft.com/office/spreadsheetml/2017/richdata2" ref="A2:K52">
    <sortCondition ref="B1:B52"/>
  </sortState>
  <tableColumns count="11">
    <tableColumn id="1" xr3:uid="{F4BF253A-6A7A-4229-AF4F-06B29D20E4C7}" name="Codice identificativo" dataDxfId="60"/>
    <tableColumn id="2" xr3:uid="{69F7B6BA-A75B-41E2-A025-905B16F62992}" name="Data operazione" dataDxfId="59"/>
    <tableColumn id="3" xr3:uid="{5EE9DE10-3DDF-4FE0-B797-00063C5A0D73}" name="Data valuta" dataDxfId="58"/>
    <tableColumn id="4" xr3:uid="{E81CFE01-4722-456B-8650-88412CD91EF3}" name="Descrizione" dataDxfId="57"/>
    <tableColumn id="5" xr3:uid="{FB3F145C-C521-4BEB-A551-3D02F6B87968}" name="Divisa" dataDxfId="56"/>
    <tableColumn id="6" xr3:uid="{CD9A5C0A-DF6D-4A06-A835-47AB9B4F0EE2}" name="Importo" dataDxfId="55"/>
    <tableColumn id="11" xr3:uid="{1FCA6AB4-3221-45AF-A1E6-8CF416D311ED}" name="Escludi" dataDxfId="54"/>
    <tableColumn id="7" xr3:uid="{06ABF4CF-025E-4753-9A8D-DB98C42DF9AA}" name="Categoria" dataDxfId="53"/>
    <tableColumn id="8" xr3:uid="{B8E86EC9-C011-4D7E-9574-AAC1ADD61A78}" name="Sottocategoria" dataDxfId="52"/>
    <tableColumn id="9" xr3:uid="{EE989F77-90AF-464F-82B0-0F0771564831}" name="Etichette" dataDxfId="51"/>
    <tableColumn id="10" xr3:uid="{A066B96F-F81B-41E7-B7C1-DD6ABE171DA0}" name="Note" dataDxfId="5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C912716-B75A-4331-B32F-E323A471D1B3}" name="Table14" displayName="Table14" ref="A1:K75" totalsRowShown="0" headerRowDxfId="49" dataDxfId="47" headerRowBorderDxfId="48" tableBorderDxfId="46" totalsRowBorderDxfId="45">
  <autoFilter ref="A1:K75" xr:uid="{9C912716-B75A-4331-B32F-E323A471D1B3}"/>
  <sortState xmlns:xlrd2="http://schemas.microsoft.com/office/spreadsheetml/2017/richdata2" ref="A2:K75">
    <sortCondition ref="B1:B75"/>
  </sortState>
  <tableColumns count="11">
    <tableColumn id="1" xr3:uid="{4EE4D559-6586-458C-BE39-BE67F45FBB69}" name="Codice identificativo" dataDxfId="44"/>
    <tableColumn id="2" xr3:uid="{C941E155-60B9-4E5E-AE8E-6FD2C15363B7}" name="Data operazione" dataDxfId="43"/>
    <tableColumn id="3" xr3:uid="{67370B8A-FDD1-48C2-A4E3-2FF86729A41C}" name="Data valuta" dataDxfId="42"/>
    <tableColumn id="4" xr3:uid="{A08896B3-5B27-4BF8-957D-17B95006ED72}" name="Descrizione" dataDxfId="41"/>
    <tableColumn id="5" xr3:uid="{D16444D1-372A-46DD-BF96-6F247554F804}" name="Divisa" dataDxfId="40"/>
    <tableColumn id="6" xr3:uid="{A999F3FD-FCE3-4B07-86CD-E974C7DA43BB}" name="Importo" dataDxfId="39"/>
    <tableColumn id="11" xr3:uid="{A4187A5B-8650-4674-96FF-1F28804EB2EE}" name="Escludi" dataDxfId="38"/>
    <tableColumn id="7" xr3:uid="{3747AFBF-B993-4B8B-8D47-AED2FB37236D}" name="Categoria" dataDxfId="37"/>
    <tableColumn id="8" xr3:uid="{AD959935-4E68-4739-AAF2-1C76698B1F0C}" name="Sottocategoria" dataDxfId="36"/>
    <tableColumn id="9" xr3:uid="{F8A337F6-5AAD-49A7-9D7A-E293C49787B7}" name="Etichette" dataDxfId="35"/>
    <tableColumn id="10" xr3:uid="{B7FD3C06-13D0-4E9E-AFB6-7F3E05F17581}" name="Note" dataDxfId="3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4BB97F-4B21-4D0C-8C6D-C020E4DD3645}" name="Table15" displayName="Table15" ref="A1:K66" totalsRowShown="0" headerRowDxfId="33" dataDxfId="31" headerRowBorderDxfId="32" tableBorderDxfId="30" totalsRowBorderDxfId="29">
  <autoFilter ref="A1:K66" xr:uid="{504BB97F-4B21-4D0C-8C6D-C020E4DD3645}"/>
  <sortState xmlns:xlrd2="http://schemas.microsoft.com/office/spreadsheetml/2017/richdata2" ref="A2:K66">
    <sortCondition ref="B1:B66"/>
  </sortState>
  <tableColumns count="11">
    <tableColumn id="1" xr3:uid="{4D0F7A87-7EDB-4DA8-94CB-7E131ED703DB}" name="Codice identificativo" dataDxfId="28"/>
    <tableColumn id="2" xr3:uid="{617ECB2C-1F2E-4938-9C8E-6CA09DF70B16}" name="Data operazione" dataDxfId="27"/>
    <tableColumn id="3" xr3:uid="{0EA788B6-8477-4241-A202-61C01CFAF9B7}" name="Data valuta" dataDxfId="26"/>
    <tableColumn id="4" xr3:uid="{43FE4708-FCD6-434B-8C0A-AC1026664BE3}" name="Descrizione" dataDxfId="25"/>
    <tableColumn id="5" xr3:uid="{3877A97E-5436-46C3-AA7E-B3272A1E0A1A}" name="Divisa" dataDxfId="24"/>
    <tableColumn id="6" xr3:uid="{960BC153-2B27-4E5F-98C3-1DE19254F0BC}" name="Importo" dataDxfId="23"/>
    <tableColumn id="7" xr3:uid="{C36DE37C-CABF-4109-8AE8-10FE128F7576}" name="Escludi" dataDxfId="22"/>
    <tableColumn id="8" xr3:uid="{244FB7F4-2226-48C1-8C17-9FD17E5D32EC}" name="Categoria" dataDxfId="21"/>
    <tableColumn id="9" xr3:uid="{BC273196-D0D0-4A9E-8477-2FCBAF84AF9E}" name="Sottocategoria" dataDxfId="20"/>
    <tableColumn id="10" xr3:uid="{A65CBF5E-354C-4E40-8DD1-22450B23F12F}" name="Etichette" dataDxfId="19"/>
    <tableColumn id="11" xr3:uid="{BB7B5BB4-F1F6-4DA5-A595-93FE082F18D3}" name="Note" dataDxfId="1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F765C6B-A4E2-4681-B374-F112AC98D5EA}" name="Table16" displayName="Table16" ref="A1:K35" totalsRowShown="0" headerRowDxfId="17" dataDxfId="15" headerRowBorderDxfId="16" tableBorderDxfId="14" totalsRowBorderDxfId="13">
  <autoFilter ref="A1:K35" xr:uid="{1F765C6B-A4E2-4681-B374-F112AC98D5EA}"/>
  <sortState xmlns:xlrd2="http://schemas.microsoft.com/office/spreadsheetml/2017/richdata2" ref="A2:K35">
    <sortCondition ref="B1:B35"/>
  </sortState>
  <tableColumns count="11">
    <tableColumn id="1" xr3:uid="{111B4A3F-F586-418E-B631-5AA1270A7B56}" name="Codice identificativo" dataDxfId="12"/>
    <tableColumn id="2" xr3:uid="{49272E9C-CA2F-4BEC-914A-224E232733F2}" name="Data operazione" dataDxfId="11"/>
    <tableColumn id="3" xr3:uid="{F6C4BF69-D760-47E5-B61B-EE34EB19F104}" name="Data valuta" dataDxfId="10"/>
    <tableColumn id="4" xr3:uid="{D085D937-D121-493F-8F86-61C1FA535030}" name="Descrizione" dataDxfId="9"/>
    <tableColumn id="5" xr3:uid="{217CBF04-23E3-4C05-A23E-284A78AEFF23}" name="Divisa" dataDxfId="8"/>
    <tableColumn id="6" xr3:uid="{55794D6D-B109-478C-BD0A-2F82504D1CEE}" name="Importo" dataDxfId="7"/>
    <tableColumn id="11" xr3:uid="{A2502DD0-2E9D-4D06-A20D-455C5D7C4A20}" name="Escludi" dataDxfId="6"/>
    <tableColumn id="7" xr3:uid="{BC181DAC-EEDA-4206-A5B5-8C8080C3F34B}" name="Categoria" dataDxfId="5"/>
    <tableColumn id="8" xr3:uid="{70814F5E-BD60-4C95-8F82-3F6E9BC10A48}" name="Sottocategoria" dataDxfId="4"/>
    <tableColumn id="9" xr3:uid="{DB7E7CFF-FA6F-491F-B569-8D9F73398315}" name="Etichette" dataDxfId="3"/>
    <tableColumn id="10" xr3:uid="{8DFC9E96-5CE4-47D7-875C-32EB441D700A}" name="No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AA52-D2DD-45B6-97B5-EE28F870A76C}">
  <dimension ref="A2:M23"/>
  <sheetViews>
    <sheetView workbookViewId="0">
      <selection activeCell="H15" sqref="H15"/>
    </sheetView>
  </sheetViews>
  <sheetFormatPr defaultRowHeight="12.75" x14ac:dyDescent="0.35"/>
  <cols>
    <col min="1" max="1" width="24.1328125" bestFit="1" customWidth="1"/>
    <col min="2" max="2" width="10.3984375" bestFit="1" customWidth="1"/>
    <col min="3" max="3" width="9.3984375" bestFit="1" customWidth="1"/>
    <col min="5" max="5" width="20.86328125" bestFit="1" customWidth="1"/>
    <col min="6" max="6" width="10.3984375" customWidth="1"/>
    <col min="9" max="9" width="11.86328125" bestFit="1" customWidth="1"/>
    <col min="10" max="10" width="13.86328125" bestFit="1" customWidth="1"/>
    <col min="11" max="12" width="13.86328125" customWidth="1"/>
    <col min="13" max="13" width="21" bestFit="1" customWidth="1"/>
    <col min="14" max="14" width="10.3984375" bestFit="1" customWidth="1"/>
    <col min="15" max="15" width="12.1328125" customWidth="1"/>
    <col min="16" max="16" width="8" bestFit="1" customWidth="1"/>
    <col min="17" max="17" width="10.3984375" bestFit="1" customWidth="1"/>
    <col min="19" max="20" width="15.86328125" bestFit="1" customWidth="1"/>
  </cols>
  <sheetData>
    <row r="2" spans="1:13" ht="14.25" x14ac:dyDescent="0.45">
      <c r="A2" s="19" t="s">
        <v>0</v>
      </c>
      <c r="B2" s="20">
        <f>B6-F6</f>
        <v>2315.5499999999997</v>
      </c>
    </row>
    <row r="3" spans="1:13" ht="14.25" x14ac:dyDescent="0.45">
      <c r="A3" s="19" t="s">
        <v>1</v>
      </c>
      <c r="B3" s="20">
        <f>B7-F7</f>
        <v>1918.8000000000002</v>
      </c>
    </row>
    <row r="4" spans="1:13" x14ac:dyDescent="0.35">
      <c r="B4" s="20"/>
    </row>
    <row r="5" spans="1:13" ht="18.399999999999999" thickBot="1" x14ac:dyDescent="0.6">
      <c r="A5" s="21" t="s">
        <v>2</v>
      </c>
      <c r="B5" s="20"/>
      <c r="E5" s="21" t="s">
        <v>3</v>
      </c>
      <c r="H5" t="s">
        <v>4</v>
      </c>
      <c r="J5">
        <v>12</v>
      </c>
    </row>
    <row r="6" spans="1:13" ht="14.65" thickBot="1" x14ac:dyDescent="0.5">
      <c r="A6" s="19" t="s">
        <v>5</v>
      </c>
      <c r="B6" s="20">
        <f>SUM(B9:B19)</f>
        <v>5016.6666666666661</v>
      </c>
      <c r="E6" s="19" t="s">
        <v>5</v>
      </c>
      <c r="F6" s="20">
        <f>SUM(F9:F19)</f>
        <v>2701.1166666666663</v>
      </c>
      <c r="J6" s="22">
        <f>(F6+C23)*J5</f>
        <v>40333.999999999993</v>
      </c>
      <c r="K6" s="12"/>
      <c r="L6" s="12"/>
    </row>
    <row r="7" spans="1:13" ht="14.25" x14ac:dyDescent="0.45">
      <c r="A7" s="19" t="s">
        <v>6</v>
      </c>
      <c r="B7" s="20">
        <f>SUM(B9:B12)</f>
        <v>4400</v>
      </c>
      <c r="E7" s="19" t="s">
        <v>6</v>
      </c>
      <c r="F7" s="20">
        <f>SUM(F9:F17)</f>
        <v>2481.1999999999998</v>
      </c>
      <c r="J7" s="12"/>
      <c r="K7" s="12"/>
      <c r="L7" s="12"/>
    </row>
    <row r="8" spans="1:13" ht="18" x14ac:dyDescent="0.55000000000000004">
      <c r="B8" s="20"/>
      <c r="F8" s="23"/>
      <c r="H8" s="21" t="s">
        <v>7</v>
      </c>
    </row>
    <row r="9" spans="1:13" x14ac:dyDescent="0.35">
      <c r="A9" t="s">
        <v>8</v>
      </c>
      <c r="B9" s="20">
        <f>550</f>
        <v>550</v>
      </c>
      <c r="E9" t="s">
        <v>9</v>
      </c>
      <c r="F9" s="20">
        <v>881.2</v>
      </c>
      <c r="H9" t="s">
        <v>10</v>
      </c>
      <c r="I9" t="s">
        <v>2</v>
      </c>
      <c r="J9" t="s">
        <v>3</v>
      </c>
      <c r="K9" t="s">
        <v>11</v>
      </c>
      <c r="L9" t="s">
        <v>12</v>
      </c>
      <c r="M9" t="s">
        <v>13</v>
      </c>
    </row>
    <row r="10" spans="1:13" x14ac:dyDescent="0.35">
      <c r="A10" t="s">
        <v>14</v>
      </c>
      <c r="B10" s="20">
        <v>1100</v>
      </c>
      <c r="E10" t="s">
        <v>15</v>
      </c>
      <c r="F10" s="20">
        <v>350</v>
      </c>
      <c r="H10" s="24">
        <v>45597</v>
      </c>
      <c r="I10" s="20">
        <v>4814.7299999999996</v>
      </c>
      <c r="J10" s="20">
        <v>2481.1999999999998</v>
      </c>
      <c r="K10" s="20">
        <f>Table37[[#This Row],[Entrate]]-Table37[[#This Row],[Uscite]]</f>
        <v>2333.5299999999997</v>
      </c>
      <c r="L10" s="20">
        <f>Table37[[#This Row],[Tot]]-$B$2</f>
        <v>17.980000000000018</v>
      </c>
      <c r="M10" s="25">
        <f>Table37[[#This Row],[Delta Budget]]-$C$22</f>
        <v>-1637.5199999999998</v>
      </c>
    </row>
    <row r="11" spans="1:13" ht="14.25" x14ac:dyDescent="0.45">
      <c r="A11" t="s">
        <v>16</v>
      </c>
      <c r="B11" s="20">
        <v>150</v>
      </c>
      <c r="E11" t="s">
        <v>17</v>
      </c>
      <c r="F11" s="20">
        <v>200</v>
      </c>
      <c r="H11" s="24">
        <v>45627</v>
      </c>
      <c r="I11" s="27">
        <v>7581.39</v>
      </c>
      <c r="J11" s="27">
        <v>3864.65</v>
      </c>
      <c r="K11" s="27">
        <f>Table37[[#This Row],[Entrate]]-Table37[[#This Row],[Uscite]]</f>
        <v>3716.7400000000002</v>
      </c>
      <c r="L11" s="27">
        <f>Table37[[#This Row],[Tot]]-$B$2</f>
        <v>1401.1900000000005</v>
      </c>
      <c r="M11" s="25">
        <f>Table37[[#This Row],[Delta Budget]]-$C$22</f>
        <v>-254.30999999999926</v>
      </c>
    </row>
    <row r="12" spans="1:13" ht="14.25" x14ac:dyDescent="0.45">
      <c r="A12" t="s">
        <v>18</v>
      </c>
      <c r="B12" s="20">
        <v>2600</v>
      </c>
      <c r="E12" t="s">
        <v>19</v>
      </c>
      <c r="F12" s="20">
        <v>250</v>
      </c>
      <c r="H12" s="24">
        <v>45658</v>
      </c>
      <c r="I12" s="27">
        <v>7581.39</v>
      </c>
      <c r="J12" s="27">
        <v>2094.94</v>
      </c>
      <c r="K12" s="25">
        <f>Table37[[#This Row],[Entrate]]-Table37[[#This Row],[Uscite]]</f>
        <v>5486.4500000000007</v>
      </c>
      <c r="L12" s="25">
        <f>Table37[[#This Row],[Tot]]-$B$2</f>
        <v>3170.900000000001</v>
      </c>
      <c r="M12" s="25">
        <f>Table37[[#This Row],[Delta Budget]]-$C$22</f>
        <v>1515.4000000000012</v>
      </c>
    </row>
    <row r="13" spans="1:13" ht="14.25" x14ac:dyDescent="0.45">
      <c r="A13" t="s">
        <v>20</v>
      </c>
      <c r="B13" s="20">
        <f>B10*2/12</f>
        <v>183.33333333333334</v>
      </c>
      <c r="E13" t="s">
        <v>21</v>
      </c>
      <c r="F13" s="20">
        <v>150</v>
      </c>
      <c r="H13" s="24">
        <v>45689</v>
      </c>
      <c r="I13" s="27">
        <v>5340.75</v>
      </c>
      <c r="J13" s="27">
        <v>6023.52</v>
      </c>
      <c r="K13" s="25">
        <f>Table37[[#This Row],[Entrate]]-Table37[[#This Row],[Uscite]]</f>
        <v>-682.77000000000044</v>
      </c>
      <c r="L13" s="25">
        <f>Table37[[#This Row],[Tot]]-$B$2</f>
        <v>-2998.32</v>
      </c>
      <c r="M13" s="25">
        <f>Table37[[#This Row],[Delta Budget]]-$C$22</f>
        <v>-4653.82</v>
      </c>
    </row>
    <row r="14" spans="1:13" ht="14.25" x14ac:dyDescent="0.45">
      <c r="A14" t="s">
        <v>22</v>
      </c>
      <c r="B14" s="20">
        <f>B12*2/12</f>
        <v>433.33333333333331</v>
      </c>
      <c r="E14" t="s">
        <v>23</v>
      </c>
      <c r="F14" s="20">
        <v>150</v>
      </c>
      <c r="H14" s="24">
        <v>45717</v>
      </c>
      <c r="I14" s="27">
        <v>4528.5200000000004</v>
      </c>
      <c r="J14" s="27">
        <v>2702.4</v>
      </c>
      <c r="K14" s="25">
        <f>Table37[[#This Row],[Entrate]]-Table37[[#This Row],[Uscite]]</f>
        <v>1826.1200000000003</v>
      </c>
      <c r="L14" s="25">
        <f>Table37[[#This Row],[Tot]]-$B$2</f>
        <v>-489.42999999999938</v>
      </c>
      <c r="M14" s="25">
        <f>Table37[[#This Row],[Delta Budget]]-$C$22</f>
        <v>-2144.9299999999994</v>
      </c>
    </row>
    <row r="15" spans="1:13" x14ac:dyDescent="0.35">
      <c r="E15" t="s">
        <v>24</v>
      </c>
      <c r="F15" s="20">
        <v>100</v>
      </c>
    </row>
    <row r="16" spans="1:13" x14ac:dyDescent="0.35">
      <c r="E16" t="s">
        <v>25</v>
      </c>
      <c r="F16" s="20">
        <v>200</v>
      </c>
    </row>
    <row r="17" spans="1:6" x14ac:dyDescent="0.35">
      <c r="E17" t="s">
        <v>26</v>
      </c>
      <c r="F17" s="20">
        <v>200</v>
      </c>
    </row>
    <row r="18" spans="1:6" x14ac:dyDescent="0.35">
      <c r="E18" t="s">
        <v>27</v>
      </c>
      <c r="F18" s="20">
        <f>1253/12</f>
        <v>104.41666666666667</v>
      </c>
    </row>
    <row r="19" spans="1:6" x14ac:dyDescent="0.35">
      <c r="E19" s="23" t="s">
        <v>28</v>
      </c>
      <c r="F19" s="20">
        <f>ROUNDUP(B9*12*0.21,2)/12</f>
        <v>115.5</v>
      </c>
    </row>
    <row r="20" spans="1:6" x14ac:dyDescent="0.35">
      <c r="E20" s="23"/>
    </row>
    <row r="21" spans="1:6" x14ac:dyDescent="0.35">
      <c r="E21" s="23"/>
    </row>
    <row r="22" spans="1:6" x14ac:dyDescent="0.35">
      <c r="A22" t="s">
        <v>29</v>
      </c>
      <c r="B22" s="26">
        <v>0.33</v>
      </c>
      <c r="C22" s="23">
        <f>B6*B22</f>
        <v>1655.4999999999998</v>
      </c>
      <c r="E22" s="23"/>
    </row>
    <row r="23" spans="1:6" x14ac:dyDescent="0.35">
      <c r="A23" t="s">
        <v>30</v>
      </c>
      <c r="C23" s="12">
        <f>B2-C22</f>
        <v>660.05</v>
      </c>
      <c r="E23" s="23"/>
    </row>
  </sheetData>
  <conditionalFormatting sqref="M10:M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F018-49B8-4EE9-A93B-43516696DB6E}">
  <dimension ref="A1:J61"/>
  <sheetViews>
    <sheetView workbookViewId="0">
      <selection activeCell="I29" sqref="I29"/>
    </sheetView>
  </sheetViews>
  <sheetFormatPr defaultRowHeight="12.75" x14ac:dyDescent="0.35"/>
  <cols>
    <col min="1" max="1" width="20.3984375" customWidth="1"/>
    <col min="2" max="2" width="16.73046875" customWidth="1"/>
    <col min="3" max="3" width="12.265625" customWidth="1"/>
    <col min="4" max="4" width="103" customWidth="1"/>
    <col min="5" max="7" width="9.3984375" customWidth="1"/>
    <col min="8" max="8" width="24.73046875" customWidth="1"/>
    <col min="9" max="9" width="27.59765625" customWidth="1"/>
    <col min="10" max="10" width="27.1328125" customWidth="1"/>
  </cols>
  <sheetData>
    <row r="1" spans="1:10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5" t="s">
        <v>40</v>
      </c>
    </row>
    <row r="2" spans="1:10" x14ac:dyDescent="0.35">
      <c r="A2" s="1"/>
      <c r="B2" s="49">
        <v>45597</v>
      </c>
      <c r="C2" s="49">
        <v>45597</v>
      </c>
      <c r="D2" s="17" t="s">
        <v>204</v>
      </c>
      <c r="E2" s="17" t="s">
        <v>44</v>
      </c>
      <c r="F2" s="48">
        <v>-881.2</v>
      </c>
      <c r="G2" s="48"/>
      <c r="H2" s="17" t="s">
        <v>1698</v>
      </c>
      <c r="I2" s="17" t="s">
        <v>205</v>
      </c>
      <c r="J2" s="2"/>
    </row>
    <row r="3" spans="1:10" x14ac:dyDescent="0.35">
      <c r="A3" s="1" t="s">
        <v>201</v>
      </c>
      <c r="B3" s="47" t="s">
        <v>202</v>
      </c>
      <c r="C3" s="47" t="s">
        <v>188</v>
      </c>
      <c r="D3" s="47" t="s">
        <v>203</v>
      </c>
      <c r="E3" s="47" t="s">
        <v>44</v>
      </c>
      <c r="F3" s="48">
        <v>-35</v>
      </c>
      <c r="G3" s="48"/>
      <c r="H3" s="47" t="s">
        <v>45</v>
      </c>
      <c r="I3" s="47" t="s">
        <v>46</v>
      </c>
      <c r="J3" s="2" t="s">
        <v>47</v>
      </c>
    </row>
    <row r="4" spans="1:10" x14ac:dyDescent="0.35">
      <c r="A4" s="1" t="s">
        <v>198</v>
      </c>
      <c r="B4" s="47" t="s">
        <v>188</v>
      </c>
      <c r="C4" s="47" t="s">
        <v>188</v>
      </c>
      <c r="D4" s="47" t="s">
        <v>199</v>
      </c>
      <c r="E4" s="47" t="s">
        <v>44</v>
      </c>
      <c r="F4" s="48">
        <v>-393.9</v>
      </c>
      <c r="G4" s="48" t="s">
        <v>97</v>
      </c>
      <c r="H4" s="47" t="s">
        <v>77</v>
      </c>
      <c r="I4" s="47" t="s">
        <v>200</v>
      </c>
      <c r="J4" s="2" t="s">
        <v>79</v>
      </c>
    </row>
    <row r="5" spans="1:10" x14ac:dyDescent="0.35">
      <c r="A5" s="1" t="s">
        <v>196</v>
      </c>
      <c r="B5" s="47" t="s">
        <v>188</v>
      </c>
      <c r="C5" s="47" t="s">
        <v>178</v>
      </c>
      <c r="D5" s="47" t="s">
        <v>197</v>
      </c>
      <c r="E5" s="47" t="s">
        <v>44</v>
      </c>
      <c r="F5" s="48">
        <v>-70.55</v>
      </c>
      <c r="G5" s="48"/>
      <c r="H5" s="47" t="s">
        <v>50</v>
      </c>
      <c r="I5" s="47" t="s">
        <v>19</v>
      </c>
      <c r="J5" s="2" t="s">
        <v>47</v>
      </c>
    </row>
    <row r="6" spans="1:10" x14ac:dyDescent="0.35">
      <c r="A6" s="1" t="s">
        <v>193</v>
      </c>
      <c r="B6" s="47" t="s">
        <v>188</v>
      </c>
      <c r="C6" s="47" t="s">
        <v>170</v>
      </c>
      <c r="D6" s="47" t="s">
        <v>194</v>
      </c>
      <c r="E6" s="47" t="s">
        <v>44</v>
      </c>
      <c r="F6" s="48">
        <v>-25.95</v>
      </c>
      <c r="G6" s="48"/>
      <c r="H6" s="47" t="s">
        <v>50</v>
      </c>
      <c r="I6" s="47" t="s">
        <v>195</v>
      </c>
      <c r="J6" s="2" t="s">
        <v>47</v>
      </c>
    </row>
    <row r="7" spans="1:10" x14ac:dyDescent="0.35">
      <c r="A7" s="1" t="s">
        <v>190</v>
      </c>
      <c r="B7" s="47" t="s">
        <v>188</v>
      </c>
      <c r="C7" s="47" t="s">
        <v>170</v>
      </c>
      <c r="D7" s="47" t="s">
        <v>191</v>
      </c>
      <c r="E7" s="47" t="s">
        <v>44</v>
      </c>
      <c r="F7" s="48">
        <v>-17.95</v>
      </c>
      <c r="G7" s="48"/>
      <c r="H7" s="47" t="s">
        <v>73</v>
      </c>
      <c r="I7" s="47" t="s">
        <v>192</v>
      </c>
      <c r="J7" s="2" t="s">
        <v>47</v>
      </c>
    </row>
    <row r="8" spans="1:10" x14ac:dyDescent="0.35">
      <c r="A8" s="1" t="s">
        <v>187</v>
      </c>
      <c r="B8" s="47" t="s">
        <v>188</v>
      </c>
      <c r="C8" s="47" t="s">
        <v>170</v>
      </c>
      <c r="D8" s="47" t="s">
        <v>189</v>
      </c>
      <c r="E8" s="47" t="s">
        <v>44</v>
      </c>
      <c r="F8" s="48">
        <v>-13</v>
      </c>
      <c r="G8" s="48"/>
      <c r="H8" s="47" t="s">
        <v>50</v>
      </c>
      <c r="I8" s="47" t="s">
        <v>15</v>
      </c>
      <c r="J8" s="2" t="s">
        <v>47</v>
      </c>
    </row>
    <row r="9" spans="1:10" x14ac:dyDescent="0.35">
      <c r="A9" s="1" t="s">
        <v>186</v>
      </c>
      <c r="B9" s="47" t="s">
        <v>178</v>
      </c>
      <c r="C9" s="47" t="s">
        <v>178</v>
      </c>
      <c r="D9" s="47" t="s">
        <v>76</v>
      </c>
      <c r="E9" s="47" t="s">
        <v>44</v>
      </c>
      <c r="F9" s="48">
        <v>-75</v>
      </c>
      <c r="G9" s="48"/>
      <c r="H9" s="47" t="s">
        <v>77</v>
      </c>
      <c r="I9" s="47" t="s">
        <v>78</v>
      </c>
      <c r="J9" s="2" t="s">
        <v>79</v>
      </c>
    </row>
    <row r="10" spans="1:10" x14ac:dyDescent="0.35">
      <c r="A10" s="1" t="s">
        <v>181</v>
      </c>
      <c r="B10" s="47" t="s">
        <v>178</v>
      </c>
      <c r="C10" s="47" t="s">
        <v>179</v>
      </c>
      <c r="D10" s="47" t="s">
        <v>182</v>
      </c>
      <c r="E10" s="47" t="s">
        <v>44</v>
      </c>
      <c r="F10" s="48">
        <v>-40.950000000000003</v>
      </c>
      <c r="G10" s="48"/>
      <c r="H10" s="47" t="s">
        <v>90</v>
      </c>
      <c r="I10" s="47" t="s">
        <v>78</v>
      </c>
      <c r="J10" s="2" t="s">
        <v>47</v>
      </c>
    </row>
    <row r="11" spans="1:10" x14ac:dyDescent="0.35">
      <c r="A11" s="1" t="s">
        <v>177</v>
      </c>
      <c r="B11" s="47" t="s">
        <v>178</v>
      </c>
      <c r="C11" s="47" t="s">
        <v>179</v>
      </c>
      <c r="D11" s="47" t="s">
        <v>180</v>
      </c>
      <c r="E11" s="47" t="s">
        <v>44</v>
      </c>
      <c r="F11" s="48">
        <v>-32.229999999999997</v>
      </c>
      <c r="G11" s="48"/>
      <c r="H11" s="47" t="s">
        <v>50</v>
      </c>
      <c r="I11" s="47" t="s">
        <v>15</v>
      </c>
      <c r="J11" s="2" t="s">
        <v>47</v>
      </c>
    </row>
    <row r="12" spans="1:10" x14ac:dyDescent="0.35">
      <c r="A12" s="1" t="s">
        <v>183</v>
      </c>
      <c r="B12" s="47" t="s">
        <v>178</v>
      </c>
      <c r="C12" s="47" t="s">
        <v>179</v>
      </c>
      <c r="D12" s="47" t="s">
        <v>49</v>
      </c>
      <c r="E12" s="47" t="s">
        <v>44</v>
      </c>
      <c r="F12" s="48">
        <v>-26.45</v>
      </c>
      <c r="G12" s="48"/>
      <c r="H12" s="47" t="s">
        <v>50</v>
      </c>
      <c r="I12" s="47" t="s">
        <v>51</v>
      </c>
      <c r="J12" s="2" t="s">
        <v>47</v>
      </c>
    </row>
    <row r="13" spans="1:10" x14ac:dyDescent="0.35">
      <c r="A13" s="1" t="s">
        <v>184</v>
      </c>
      <c r="B13" s="47" t="s">
        <v>178</v>
      </c>
      <c r="C13" s="47" t="s">
        <v>178</v>
      </c>
      <c r="D13" s="47" t="s">
        <v>185</v>
      </c>
      <c r="E13" s="47" t="s">
        <v>44</v>
      </c>
      <c r="F13" s="48">
        <v>1123.32</v>
      </c>
      <c r="G13" s="48" t="s">
        <v>97</v>
      </c>
      <c r="H13" s="47" t="s">
        <v>101</v>
      </c>
      <c r="I13" s="47" t="s">
        <v>59</v>
      </c>
      <c r="J13" s="2" t="s">
        <v>60</v>
      </c>
    </row>
    <row r="14" spans="1:10" x14ac:dyDescent="0.35">
      <c r="A14" s="1" t="s">
        <v>172</v>
      </c>
      <c r="B14" s="47" t="s">
        <v>170</v>
      </c>
      <c r="C14" s="47" t="s">
        <v>171</v>
      </c>
      <c r="D14" s="47" t="s">
        <v>173</v>
      </c>
      <c r="E14" s="47" t="s">
        <v>44</v>
      </c>
      <c r="F14" s="48">
        <v>-30.5</v>
      </c>
      <c r="G14" s="48"/>
      <c r="H14" s="47" t="s">
        <v>50</v>
      </c>
      <c r="I14" s="47" t="s">
        <v>15</v>
      </c>
      <c r="J14" s="2" t="s">
        <v>47</v>
      </c>
    </row>
    <row r="15" spans="1:10" x14ac:dyDescent="0.35">
      <c r="A15" s="1" t="s">
        <v>169</v>
      </c>
      <c r="B15" s="47" t="s">
        <v>170</v>
      </c>
      <c r="C15" s="47" t="s">
        <v>171</v>
      </c>
      <c r="D15" s="47" t="s">
        <v>105</v>
      </c>
      <c r="E15" s="47" t="s">
        <v>44</v>
      </c>
      <c r="F15" s="48">
        <v>-17.8</v>
      </c>
      <c r="G15" s="48"/>
      <c r="H15" s="47" t="s">
        <v>90</v>
      </c>
      <c r="I15" s="47" t="s">
        <v>106</v>
      </c>
      <c r="J15" s="2" t="s">
        <v>47</v>
      </c>
    </row>
    <row r="16" spans="1:10" x14ac:dyDescent="0.35">
      <c r="A16" s="1" t="s">
        <v>174</v>
      </c>
      <c r="B16" s="47" t="s">
        <v>170</v>
      </c>
      <c r="C16" s="47" t="s">
        <v>170</v>
      </c>
      <c r="D16" s="47" t="s">
        <v>175</v>
      </c>
      <c r="E16" s="47" t="s">
        <v>44</v>
      </c>
      <c r="F16" s="48">
        <v>550</v>
      </c>
      <c r="G16" s="48"/>
      <c r="H16" s="47" t="s">
        <v>176</v>
      </c>
      <c r="I16" s="47" t="s">
        <v>59</v>
      </c>
      <c r="J16" s="2" t="s">
        <v>60</v>
      </c>
    </row>
    <row r="17" spans="1:10" x14ac:dyDescent="0.35">
      <c r="A17" s="1" t="s">
        <v>166</v>
      </c>
      <c r="B17" s="47" t="s">
        <v>167</v>
      </c>
      <c r="C17" s="47" t="s">
        <v>150</v>
      </c>
      <c r="D17" s="47" t="s">
        <v>168</v>
      </c>
      <c r="E17" s="47" t="s">
        <v>44</v>
      </c>
      <c r="F17" s="48">
        <v>-19.97</v>
      </c>
      <c r="G17" s="48"/>
      <c r="H17" s="47" t="s">
        <v>90</v>
      </c>
      <c r="I17" s="47" t="s">
        <v>106</v>
      </c>
      <c r="J17" s="2" t="s">
        <v>47</v>
      </c>
    </row>
    <row r="18" spans="1:10" x14ac:dyDescent="0.35">
      <c r="A18" s="1" t="s">
        <v>162</v>
      </c>
      <c r="B18" s="47" t="s">
        <v>163</v>
      </c>
      <c r="C18" s="47" t="s">
        <v>161</v>
      </c>
      <c r="D18" s="47" t="s">
        <v>164</v>
      </c>
      <c r="E18" s="47" t="s">
        <v>44</v>
      </c>
      <c r="F18" s="48">
        <v>-17.98</v>
      </c>
      <c r="G18" s="48"/>
      <c r="H18" s="47" t="s">
        <v>50</v>
      </c>
      <c r="I18" s="47" t="s">
        <v>165</v>
      </c>
      <c r="J18" s="2" t="s">
        <v>91</v>
      </c>
    </row>
    <row r="19" spans="1:10" x14ac:dyDescent="0.35">
      <c r="A19" s="1" t="s">
        <v>160</v>
      </c>
      <c r="B19" s="47" t="s">
        <v>161</v>
      </c>
      <c r="C19" s="47" t="s">
        <v>157</v>
      </c>
      <c r="D19" s="47" t="s">
        <v>151</v>
      </c>
      <c r="E19" s="47" t="s">
        <v>44</v>
      </c>
      <c r="F19" s="48">
        <v>-36.090000000000003</v>
      </c>
      <c r="G19" s="48"/>
      <c r="H19" s="47" t="s">
        <v>50</v>
      </c>
      <c r="I19" s="47" t="s">
        <v>15</v>
      </c>
      <c r="J19" s="2" t="s">
        <v>47</v>
      </c>
    </row>
    <row r="20" spans="1:10" x14ac:dyDescent="0.35">
      <c r="A20" s="1" t="s">
        <v>156</v>
      </c>
      <c r="B20" s="47" t="s">
        <v>157</v>
      </c>
      <c r="C20" s="47" t="s">
        <v>144</v>
      </c>
      <c r="D20" s="47" t="s">
        <v>158</v>
      </c>
      <c r="E20" s="47" t="s">
        <v>44</v>
      </c>
      <c r="F20" s="48">
        <v>-135</v>
      </c>
      <c r="G20" s="48"/>
      <c r="H20" s="47" t="s">
        <v>50</v>
      </c>
      <c r="I20" s="47" t="s">
        <v>19</v>
      </c>
      <c r="J20" s="2" t="s">
        <v>47</v>
      </c>
    </row>
    <row r="21" spans="1:10" x14ac:dyDescent="0.35">
      <c r="A21" s="1" t="s">
        <v>159</v>
      </c>
      <c r="B21" s="47" t="s">
        <v>157</v>
      </c>
      <c r="C21" s="47" t="s">
        <v>157</v>
      </c>
      <c r="D21" s="47" t="s">
        <v>76</v>
      </c>
      <c r="E21" s="47" t="s">
        <v>44</v>
      </c>
      <c r="F21" s="48">
        <v>-60</v>
      </c>
      <c r="G21" s="48"/>
      <c r="H21" s="47" t="s">
        <v>77</v>
      </c>
      <c r="I21" s="47" t="s">
        <v>78</v>
      </c>
      <c r="J21" s="2" t="s">
        <v>79</v>
      </c>
    </row>
    <row r="22" spans="1:10" x14ac:dyDescent="0.35">
      <c r="A22" s="1" t="s">
        <v>149</v>
      </c>
      <c r="B22" s="47" t="s">
        <v>150</v>
      </c>
      <c r="C22" s="47" t="s">
        <v>144</v>
      </c>
      <c r="D22" s="47" t="s">
        <v>151</v>
      </c>
      <c r="E22" s="47" t="s">
        <v>44</v>
      </c>
      <c r="F22" s="48">
        <v>-22.99</v>
      </c>
      <c r="G22" s="48"/>
      <c r="H22" s="47" t="s">
        <v>50</v>
      </c>
      <c r="I22" s="47" t="s">
        <v>15</v>
      </c>
      <c r="J22" s="2" t="s">
        <v>47</v>
      </c>
    </row>
    <row r="23" spans="1:10" x14ac:dyDescent="0.35">
      <c r="A23" s="1" t="s">
        <v>154</v>
      </c>
      <c r="B23" s="47" t="s">
        <v>150</v>
      </c>
      <c r="C23" s="47" t="s">
        <v>150</v>
      </c>
      <c r="D23" s="47" t="s">
        <v>155</v>
      </c>
      <c r="E23" s="47" t="s">
        <v>44</v>
      </c>
      <c r="F23" s="48">
        <v>-14.15</v>
      </c>
      <c r="G23" s="48"/>
      <c r="H23" s="47" t="s">
        <v>50</v>
      </c>
      <c r="I23" s="47" t="s">
        <v>21</v>
      </c>
      <c r="J23" s="2" t="s">
        <v>60</v>
      </c>
    </row>
    <row r="24" spans="1:10" x14ac:dyDescent="0.35">
      <c r="A24" s="1" t="s">
        <v>152</v>
      </c>
      <c r="B24" s="47" t="s">
        <v>150</v>
      </c>
      <c r="C24" s="47" t="s">
        <v>150</v>
      </c>
      <c r="D24" s="47" t="s">
        <v>153</v>
      </c>
      <c r="E24" s="47" t="s">
        <v>44</v>
      </c>
      <c r="F24" s="48">
        <v>-10.81</v>
      </c>
      <c r="G24" s="48"/>
      <c r="H24" s="47" t="s">
        <v>50</v>
      </c>
      <c r="I24" s="47" t="s">
        <v>21</v>
      </c>
      <c r="J24" s="2" t="s">
        <v>60</v>
      </c>
    </row>
    <row r="25" spans="1:10" x14ac:dyDescent="0.35">
      <c r="A25" s="1" t="s">
        <v>143</v>
      </c>
      <c r="B25" s="47" t="s">
        <v>144</v>
      </c>
      <c r="C25" s="47" t="s">
        <v>110</v>
      </c>
      <c r="D25" s="47" t="s">
        <v>145</v>
      </c>
      <c r="E25" s="47" t="s">
        <v>44</v>
      </c>
      <c r="F25" s="48">
        <v>-108.37</v>
      </c>
      <c r="G25" s="48"/>
      <c r="H25" s="47" t="s">
        <v>90</v>
      </c>
      <c r="I25" s="47" t="s">
        <v>106</v>
      </c>
      <c r="J25" s="2" t="s">
        <v>47</v>
      </c>
    </row>
    <row r="26" spans="1:10" x14ac:dyDescent="0.35">
      <c r="A26" s="1" t="s">
        <v>146</v>
      </c>
      <c r="B26" s="47" t="s">
        <v>144</v>
      </c>
      <c r="C26" s="47" t="s">
        <v>134</v>
      </c>
      <c r="D26" s="47" t="s">
        <v>147</v>
      </c>
      <c r="E26" s="47" t="s">
        <v>44</v>
      </c>
      <c r="F26" s="48">
        <v>-55</v>
      </c>
      <c r="G26" s="48"/>
      <c r="H26" s="47" t="s">
        <v>90</v>
      </c>
      <c r="I26" s="47" t="s">
        <v>106</v>
      </c>
      <c r="J26" s="2" t="s">
        <v>47</v>
      </c>
    </row>
    <row r="27" spans="1:10" x14ac:dyDescent="0.35">
      <c r="A27" s="1" t="s">
        <v>148</v>
      </c>
      <c r="B27" s="47" t="s">
        <v>144</v>
      </c>
      <c r="C27" s="47" t="s">
        <v>110</v>
      </c>
      <c r="D27" s="47" t="s">
        <v>94</v>
      </c>
      <c r="E27" s="47" t="s">
        <v>44</v>
      </c>
      <c r="F27" s="48">
        <v>-33.619999999999997</v>
      </c>
      <c r="G27" s="48"/>
      <c r="H27" s="47" t="s">
        <v>50</v>
      </c>
      <c r="I27" s="47" t="s">
        <v>15</v>
      </c>
      <c r="J27" s="2" t="s">
        <v>47</v>
      </c>
    </row>
    <row r="28" spans="1:10" x14ac:dyDescent="0.35">
      <c r="A28" s="1" t="s">
        <v>139</v>
      </c>
      <c r="B28" s="47" t="s">
        <v>134</v>
      </c>
      <c r="C28" s="47" t="s">
        <v>134</v>
      </c>
      <c r="D28" s="47" t="s">
        <v>140</v>
      </c>
      <c r="E28" s="47" t="s">
        <v>44</v>
      </c>
      <c r="F28" s="48">
        <v>-5000</v>
      </c>
      <c r="G28" s="48" t="s">
        <v>97</v>
      </c>
      <c r="H28" s="47" t="s">
        <v>77</v>
      </c>
      <c r="I28" s="47" t="s">
        <v>78</v>
      </c>
      <c r="J28" s="2" t="s">
        <v>60</v>
      </c>
    </row>
    <row r="29" spans="1:10" x14ac:dyDescent="0.35">
      <c r="A29" s="1" t="s">
        <v>133</v>
      </c>
      <c r="B29" s="47" t="s">
        <v>134</v>
      </c>
      <c r="C29" s="47" t="s">
        <v>134</v>
      </c>
      <c r="D29" s="47" t="s">
        <v>135</v>
      </c>
      <c r="E29" s="47" t="s">
        <v>44</v>
      </c>
      <c r="F29" s="48">
        <v>-1253</v>
      </c>
      <c r="G29" s="48"/>
      <c r="H29" s="47" t="s">
        <v>136</v>
      </c>
      <c r="I29" s="47" t="s">
        <v>394</v>
      </c>
      <c r="J29" s="2" t="s">
        <v>138</v>
      </c>
    </row>
    <row r="30" spans="1:10" x14ac:dyDescent="0.35">
      <c r="A30" s="1" t="s">
        <v>141</v>
      </c>
      <c r="B30" s="47" t="s">
        <v>134</v>
      </c>
      <c r="C30" s="47" t="s">
        <v>134</v>
      </c>
      <c r="D30" s="47" t="s">
        <v>142</v>
      </c>
      <c r="E30" s="47" t="s">
        <v>44</v>
      </c>
      <c r="F30" s="48">
        <v>198.64</v>
      </c>
      <c r="G30" s="48" t="s">
        <v>97</v>
      </c>
      <c r="H30" s="47" t="s">
        <v>101</v>
      </c>
      <c r="I30" s="47" t="s">
        <v>59</v>
      </c>
      <c r="J30" s="2" t="s">
        <v>60</v>
      </c>
    </row>
    <row r="31" spans="1:10" x14ac:dyDescent="0.35">
      <c r="A31" s="1" t="s">
        <v>128</v>
      </c>
      <c r="B31" s="47" t="s">
        <v>129</v>
      </c>
      <c r="C31" s="47" t="s">
        <v>110</v>
      </c>
      <c r="D31" s="47" t="s">
        <v>130</v>
      </c>
      <c r="E31" s="47" t="s">
        <v>44</v>
      </c>
      <c r="F31" s="48">
        <v>-89.4</v>
      </c>
      <c r="G31" s="48"/>
      <c r="H31" s="47" t="s">
        <v>45</v>
      </c>
      <c r="I31" s="47" t="s">
        <v>46</v>
      </c>
      <c r="J31" s="2" t="s">
        <v>47</v>
      </c>
    </row>
    <row r="32" spans="1:10" x14ac:dyDescent="0.35">
      <c r="A32" s="1" t="s">
        <v>131</v>
      </c>
      <c r="B32" s="47" t="s">
        <v>129</v>
      </c>
      <c r="C32" s="47" t="s">
        <v>103</v>
      </c>
      <c r="D32" s="47" t="s">
        <v>49</v>
      </c>
      <c r="E32" s="47" t="s">
        <v>44</v>
      </c>
      <c r="F32" s="48">
        <v>-9.9499999999999993</v>
      </c>
      <c r="G32" s="48"/>
      <c r="H32" s="47" t="s">
        <v>50</v>
      </c>
      <c r="I32" s="47" t="s">
        <v>51</v>
      </c>
      <c r="J32" s="2" t="s">
        <v>47</v>
      </c>
    </row>
    <row r="33" spans="1:10" x14ac:dyDescent="0.35">
      <c r="A33" s="1" t="s">
        <v>132</v>
      </c>
      <c r="B33" s="47" t="s">
        <v>129</v>
      </c>
      <c r="C33" s="47" t="s">
        <v>103</v>
      </c>
      <c r="D33" s="47" t="s">
        <v>63</v>
      </c>
      <c r="E33" s="47" t="s">
        <v>44</v>
      </c>
      <c r="F33" s="48">
        <v>-8.31</v>
      </c>
      <c r="G33" s="48"/>
      <c r="H33" s="47" t="s">
        <v>50</v>
      </c>
      <c r="I33" s="47" t="s">
        <v>15</v>
      </c>
      <c r="J33" s="2" t="s">
        <v>47</v>
      </c>
    </row>
    <row r="34" spans="1:10" x14ac:dyDescent="0.35">
      <c r="A34" s="1" t="s">
        <v>125</v>
      </c>
      <c r="B34" s="47" t="s">
        <v>126</v>
      </c>
      <c r="C34" s="47" t="s">
        <v>114</v>
      </c>
      <c r="D34" s="47" t="s">
        <v>127</v>
      </c>
      <c r="E34" s="47" t="s">
        <v>44</v>
      </c>
      <c r="F34" s="48">
        <v>-13.72</v>
      </c>
      <c r="G34" s="48"/>
      <c r="H34" s="47" t="s">
        <v>90</v>
      </c>
      <c r="I34" s="47" t="s">
        <v>78</v>
      </c>
      <c r="J34" s="2" t="s">
        <v>91</v>
      </c>
    </row>
    <row r="35" spans="1:10" x14ac:dyDescent="0.35">
      <c r="A35" s="1" t="s">
        <v>122</v>
      </c>
      <c r="B35" s="47" t="s">
        <v>110</v>
      </c>
      <c r="C35" s="47" t="s">
        <v>110</v>
      </c>
      <c r="D35" s="47" t="s">
        <v>123</v>
      </c>
      <c r="E35" s="47" t="s">
        <v>44</v>
      </c>
      <c r="F35" s="48">
        <v>-160</v>
      </c>
      <c r="G35" s="48"/>
      <c r="H35" s="47" t="s">
        <v>98</v>
      </c>
      <c r="I35" s="47" t="s">
        <v>124</v>
      </c>
      <c r="J35" s="2" t="s">
        <v>60</v>
      </c>
    </row>
    <row r="36" spans="1:10" x14ac:dyDescent="0.35">
      <c r="A36" s="1" t="s">
        <v>116</v>
      </c>
      <c r="B36" s="47" t="s">
        <v>110</v>
      </c>
      <c r="C36" s="47" t="s">
        <v>114</v>
      </c>
      <c r="D36" s="47" t="s">
        <v>117</v>
      </c>
      <c r="E36" s="47" t="s">
        <v>44</v>
      </c>
      <c r="F36" s="48">
        <v>-32.9</v>
      </c>
      <c r="G36" s="48"/>
      <c r="H36" s="47" t="s">
        <v>90</v>
      </c>
      <c r="I36" s="47" t="s">
        <v>106</v>
      </c>
      <c r="J36" s="2" t="s">
        <v>47</v>
      </c>
    </row>
    <row r="37" spans="1:10" x14ac:dyDescent="0.35">
      <c r="A37" s="1" t="s">
        <v>120</v>
      </c>
      <c r="B37" s="47" t="s">
        <v>110</v>
      </c>
      <c r="C37" s="47" t="s">
        <v>114</v>
      </c>
      <c r="D37" s="47" t="s">
        <v>121</v>
      </c>
      <c r="E37" s="47" t="s">
        <v>44</v>
      </c>
      <c r="F37" s="48">
        <v>-14.54</v>
      </c>
      <c r="G37" s="48"/>
      <c r="H37" s="47" t="s">
        <v>50</v>
      </c>
      <c r="I37" s="47" t="s">
        <v>15</v>
      </c>
      <c r="J37" s="2" t="s">
        <v>47</v>
      </c>
    </row>
    <row r="38" spans="1:10" x14ac:dyDescent="0.35">
      <c r="A38" s="1" t="s">
        <v>118</v>
      </c>
      <c r="B38" s="47" t="s">
        <v>110</v>
      </c>
      <c r="C38" s="47" t="s">
        <v>114</v>
      </c>
      <c r="D38" s="47" t="s">
        <v>119</v>
      </c>
      <c r="E38" s="47" t="s">
        <v>44</v>
      </c>
      <c r="F38" s="48">
        <v>-13</v>
      </c>
      <c r="G38" s="48"/>
      <c r="H38" s="47" t="s">
        <v>50</v>
      </c>
      <c r="I38" s="47" t="s">
        <v>15</v>
      </c>
      <c r="J38" s="2" t="s">
        <v>47</v>
      </c>
    </row>
    <row r="39" spans="1:10" x14ac:dyDescent="0.35">
      <c r="A39" s="1" t="s">
        <v>113</v>
      </c>
      <c r="B39" s="47" t="s">
        <v>110</v>
      </c>
      <c r="C39" s="47" t="s">
        <v>114</v>
      </c>
      <c r="D39" s="47" t="s">
        <v>115</v>
      </c>
      <c r="E39" s="47" t="s">
        <v>44</v>
      </c>
      <c r="F39" s="48">
        <v>-7.5</v>
      </c>
      <c r="G39" s="48"/>
      <c r="H39" s="47" t="s">
        <v>45</v>
      </c>
      <c r="I39" s="47" t="s">
        <v>46</v>
      </c>
      <c r="J39" s="2" t="s">
        <v>47</v>
      </c>
    </row>
    <row r="40" spans="1:10" x14ac:dyDescent="0.35">
      <c r="A40" s="1" t="s">
        <v>109</v>
      </c>
      <c r="B40" s="47" t="s">
        <v>110</v>
      </c>
      <c r="C40" s="47" t="s">
        <v>104</v>
      </c>
      <c r="D40" s="47" t="s">
        <v>111</v>
      </c>
      <c r="E40" s="47" t="s">
        <v>44</v>
      </c>
      <c r="F40" s="48">
        <v>-2.2000000000000002</v>
      </c>
      <c r="G40" s="48"/>
      <c r="H40" s="47" t="s">
        <v>73</v>
      </c>
      <c r="I40" s="47" t="s">
        <v>112</v>
      </c>
      <c r="J40" s="2" t="s">
        <v>47</v>
      </c>
    </row>
    <row r="41" spans="1:10" x14ac:dyDescent="0.35">
      <c r="A41" s="1" t="s">
        <v>102</v>
      </c>
      <c r="B41" s="47" t="s">
        <v>103</v>
      </c>
      <c r="C41" s="47" t="s">
        <v>104</v>
      </c>
      <c r="D41" s="47" t="s">
        <v>105</v>
      </c>
      <c r="E41" s="47" t="s">
        <v>44</v>
      </c>
      <c r="F41" s="48">
        <v>-46.18</v>
      </c>
      <c r="G41" s="48"/>
      <c r="H41" s="47" t="s">
        <v>90</v>
      </c>
      <c r="I41" s="47" t="s">
        <v>106</v>
      </c>
      <c r="J41" s="2" t="s">
        <v>47</v>
      </c>
    </row>
    <row r="42" spans="1:10" x14ac:dyDescent="0.35">
      <c r="A42" s="1" t="s">
        <v>107</v>
      </c>
      <c r="B42" s="47" t="s">
        <v>103</v>
      </c>
      <c r="C42" s="47" t="s">
        <v>104</v>
      </c>
      <c r="D42" s="47" t="s">
        <v>108</v>
      </c>
      <c r="E42" s="47" t="s">
        <v>44</v>
      </c>
      <c r="F42" s="48">
        <v>-8.6</v>
      </c>
      <c r="G42" s="48"/>
      <c r="H42" s="47" t="s">
        <v>50</v>
      </c>
      <c r="I42" s="47" t="s">
        <v>15</v>
      </c>
      <c r="J42" s="2" t="s">
        <v>47</v>
      </c>
    </row>
    <row r="43" spans="1:10" x14ac:dyDescent="0.35">
      <c r="A43" s="1" t="s">
        <v>95</v>
      </c>
      <c r="B43" s="47" t="s">
        <v>93</v>
      </c>
      <c r="C43" s="47" t="s">
        <v>93</v>
      </c>
      <c r="D43" s="47" t="s">
        <v>96</v>
      </c>
      <c r="E43" s="47" t="s">
        <v>44</v>
      </c>
      <c r="F43" s="48">
        <v>-3000</v>
      </c>
      <c r="G43" s="48" t="s">
        <v>97</v>
      </c>
      <c r="H43" s="47" t="s">
        <v>98</v>
      </c>
      <c r="I43" s="47" t="s">
        <v>78</v>
      </c>
      <c r="J43" s="2" t="s">
        <v>60</v>
      </c>
    </row>
    <row r="44" spans="1:10" x14ac:dyDescent="0.35">
      <c r="A44" s="1" t="s">
        <v>92</v>
      </c>
      <c r="B44" s="47" t="s">
        <v>93</v>
      </c>
      <c r="C44" s="47" t="s">
        <v>81</v>
      </c>
      <c r="D44" s="47" t="s">
        <v>94</v>
      </c>
      <c r="E44" s="47" t="s">
        <v>44</v>
      </c>
      <c r="F44" s="48">
        <v>-30.63</v>
      </c>
      <c r="G44" s="48"/>
      <c r="H44" s="47" t="s">
        <v>50</v>
      </c>
      <c r="I44" s="47" t="s">
        <v>15</v>
      </c>
      <c r="J44" s="2" t="s">
        <v>47</v>
      </c>
    </row>
    <row r="45" spans="1:10" x14ac:dyDescent="0.35">
      <c r="A45" s="1" t="s">
        <v>99</v>
      </c>
      <c r="B45" s="47" t="s">
        <v>93</v>
      </c>
      <c r="C45" s="47" t="s">
        <v>93</v>
      </c>
      <c r="D45" s="47" t="s">
        <v>100</v>
      </c>
      <c r="E45" s="47" t="s">
        <v>44</v>
      </c>
      <c r="F45" s="48">
        <v>23.96</v>
      </c>
      <c r="G45" s="48"/>
      <c r="H45" s="47" t="s">
        <v>101</v>
      </c>
      <c r="I45" s="47" t="s">
        <v>59</v>
      </c>
      <c r="J45" s="2" t="s">
        <v>60</v>
      </c>
    </row>
    <row r="46" spans="1:10" x14ac:dyDescent="0.35">
      <c r="A46" s="1" t="s">
        <v>87</v>
      </c>
      <c r="B46" s="47" t="s">
        <v>88</v>
      </c>
      <c r="C46" s="47" t="s">
        <v>62</v>
      </c>
      <c r="D46" s="47" t="s">
        <v>89</v>
      </c>
      <c r="E46" s="47" t="s">
        <v>44</v>
      </c>
      <c r="F46" s="48">
        <v>-77.3</v>
      </c>
      <c r="G46" s="48"/>
      <c r="H46" s="47" t="s">
        <v>90</v>
      </c>
      <c r="I46" s="47" t="s">
        <v>78</v>
      </c>
      <c r="J46" s="2" t="s">
        <v>91</v>
      </c>
    </row>
    <row r="47" spans="1:10" x14ac:dyDescent="0.35">
      <c r="A47" s="1" t="s">
        <v>85</v>
      </c>
      <c r="B47" s="47" t="s">
        <v>81</v>
      </c>
      <c r="C47" s="47" t="s">
        <v>65</v>
      </c>
      <c r="D47" s="47" t="s">
        <v>86</v>
      </c>
      <c r="E47" s="47" t="s">
        <v>44</v>
      </c>
      <c r="F47" s="48">
        <v>-81.900000000000006</v>
      </c>
      <c r="G47" s="48"/>
      <c r="H47" s="47" t="s">
        <v>50</v>
      </c>
      <c r="I47" s="47" t="s">
        <v>19</v>
      </c>
      <c r="J47" s="2" t="s">
        <v>47</v>
      </c>
    </row>
    <row r="48" spans="1:10" x14ac:dyDescent="0.35">
      <c r="A48" s="1" t="s">
        <v>80</v>
      </c>
      <c r="B48" s="47" t="s">
        <v>81</v>
      </c>
      <c r="C48" s="47" t="s">
        <v>65</v>
      </c>
      <c r="D48" s="47" t="s">
        <v>82</v>
      </c>
      <c r="E48" s="47" t="s">
        <v>44</v>
      </c>
      <c r="F48" s="48">
        <v>-25</v>
      </c>
      <c r="G48" s="48"/>
      <c r="H48" s="47" t="s">
        <v>45</v>
      </c>
      <c r="I48" s="47" t="s">
        <v>46</v>
      </c>
      <c r="J48" s="2" t="s">
        <v>47</v>
      </c>
    </row>
    <row r="49" spans="1:10" x14ac:dyDescent="0.35">
      <c r="A49" s="1" t="s">
        <v>83</v>
      </c>
      <c r="B49" s="47" t="s">
        <v>81</v>
      </c>
      <c r="C49" s="47" t="s">
        <v>65</v>
      </c>
      <c r="D49" s="47" t="s">
        <v>84</v>
      </c>
      <c r="E49" s="47" t="s">
        <v>44</v>
      </c>
      <c r="F49" s="48">
        <v>-0.8</v>
      </c>
      <c r="G49" s="48"/>
      <c r="H49" s="47" t="s">
        <v>73</v>
      </c>
      <c r="I49" s="47" t="s">
        <v>74</v>
      </c>
      <c r="J49" s="2" t="s">
        <v>47</v>
      </c>
    </row>
    <row r="50" spans="1:10" x14ac:dyDescent="0.35">
      <c r="A50" s="1" t="s">
        <v>75</v>
      </c>
      <c r="B50" s="47" t="s">
        <v>71</v>
      </c>
      <c r="C50" s="47" t="s">
        <v>71</v>
      </c>
      <c r="D50" s="47" t="s">
        <v>76</v>
      </c>
      <c r="E50" s="47" t="s">
        <v>44</v>
      </c>
      <c r="F50" s="48">
        <v>-47.45</v>
      </c>
      <c r="G50" s="48"/>
      <c r="H50" s="47" t="s">
        <v>77</v>
      </c>
      <c r="I50" s="47" t="s">
        <v>78</v>
      </c>
      <c r="J50" s="2" t="s">
        <v>79</v>
      </c>
    </row>
    <row r="51" spans="1:10" x14ac:dyDescent="0.35">
      <c r="A51" s="1" t="s">
        <v>70</v>
      </c>
      <c r="B51" s="47" t="s">
        <v>71</v>
      </c>
      <c r="C51" s="47" t="s">
        <v>62</v>
      </c>
      <c r="D51" s="47" t="s">
        <v>72</v>
      </c>
      <c r="E51" s="47" t="s">
        <v>44</v>
      </c>
      <c r="F51" s="48">
        <v>-0.8</v>
      </c>
      <c r="G51" s="48"/>
      <c r="H51" s="47" t="s">
        <v>73</v>
      </c>
      <c r="I51" s="47" t="s">
        <v>74</v>
      </c>
      <c r="J51" s="2" t="s">
        <v>47</v>
      </c>
    </row>
    <row r="52" spans="1:10" x14ac:dyDescent="0.35">
      <c r="A52" s="1" t="s">
        <v>67</v>
      </c>
      <c r="B52" s="47" t="s">
        <v>65</v>
      </c>
      <c r="C52" s="47" t="s">
        <v>65</v>
      </c>
      <c r="D52" s="47" t="s">
        <v>68</v>
      </c>
      <c r="E52" s="47" t="s">
        <v>44</v>
      </c>
      <c r="F52" s="48">
        <v>-207.71</v>
      </c>
      <c r="G52" s="48"/>
      <c r="H52" s="47" t="s">
        <v>50</v>
      </c>
      <c r="I52" s="47" t="s">
        <v>69</v>
      </c>
      <c r="J52" s="2" t="s">
        <v>60</v>
      </c>
    </row>
    <row r="53" spans="1:10" x14ac:dyDescent="0.35">
      <c r="A53" s="1" t="s">
        <v>64</v>
      </c>
      <c r="B53" s="47" t="s">
        <v>65</v>
      </c>
      <c r="C53" s="47" t="s">
        <v>65</v>
      </c>
      <c r="D53" s="47" t="s">
        <v>66</v>
      </c>
      <c r="E53" s="47" t="s">
        <v>44</v>
      </c>
      <c r="F53" s="48">
        <v>2815.06</v>
      </c>
      <c r="G53" s="48"/>
      <c r="H53" s="47" t="s">
        <v>58</v>
      </c>
      <c r="I53" s="47" t="s">
        <v>59</v>
      </c>
      <c r="J53" s="2" t="s">
        <v>60</v>
      </c>
    </row>
    <row r="54" spans="1:10" x14ac:dyDescent="0.35">
      <c r="A54" s="1" t="s">
        <v>61</v>
      </c>
      <c r="B54" s="47" t="s">
        <v>62</v>
      </c>
      <c r="C54" s="47" t="s">
        <v>54</v>
      </c>
      <c r="D54" s="47" t="s">
        <v>63</v>
      </c>
      <c r="E54" s="47" t="s">
        <v>44</v>
      </c>
      <c r="F54" s="48">
        <v>-6.14</v>
      </c>
      <c r="G54" s="48"/>
      <c r="H54" s="47" t="s">
        <v>50</v>
      </c>
      <c r="I54" s="47" t="s">
        <v>15</v>
      </c>
      <c r="J54" s="2" t="s">
        <v>47</v>
      </c>
    </row>
    <row r="55" spans="1:10" x14ac:dyDescent="0.35">
      <c r="A55" s="1" t="s">
        <v>52</v>
      </c>
      <c r="B55" s="47" t="s">
        <v>53</v>
      </c>
      <c r="C55" s="47" t="s">
        <v>54</v>
      </c>
      <c r="D55" s="47" t="s">
        <v>55</v>
      </c>
      <c r="E55" s="47" t="s">
        <v>44</v>
      </c>
      <c r="F55" s="48">
        <v>-40</v>
      </c>
      <c r="G55" s="48"/>
      <c r="H55" s="47" t="s">
        <v>45</v>
      </c>
      <c r="I55" s="47" t="s">
        <v>46</v>
      </c>
      <c r="J55" s="2" t="s">
        <v>47</v>
      </c>
    </row>
    <row r="56" spans="1:10" x14ac:dyDescent="0.35">
      <c r="A56" s="1" t="s">
        <v>56</v>
      </c>
      <c r="B56" s="47" t="s">
        <v>53</v>
      </c>
      <c r="C56" s="47" t="s">
        <v>53</v>
      </c>
      <c r="D56" s="47" t="s">
        <v>57</v>
      </c>
      <c r="E56" s="47" t="s">
        <v>44</v>
      </c>
      <c r="F56" s="48">
        <v>1425.71</v>
      </c>
      <c r="G56" s="48"/>
      <c r="H56" s="47" t="s">
        <v>58</v>
      </c>
      <c r="I56" s="47" t="s">
        <v>59</v>
      </c>
      <c r="J56" s="2" t="s">
        <v>60</v>
      </c>
    </row>
    <row r="57" spans="1:10" x14ac:dyDescent="0.35">
      <c r="A57" s="6" t="s">
        <v>48</v>
      </c>
      <c r="B57" s="7" t="s">
        <v>42</v>
      </c>
      <c r="C57" s="7" t="s">
        <v>42</v>
      </c>
      <c r="D57" s="7" t="s">
        <v>49</v>
      </c>
      <c r="E57" s="7" t="s">
        <v>44</v>
      </c>
      <c r="F57" s="10">
        <v>-64.099999999999994</v>
      </c>
      <c r="G57" s="10"/>
      <c r="H57" s="7" t="s">
        <v>50</v>
      </c>
      <c r="I57" s="7" t="s">
        <v>51</v>
      </c>
      <c r="J57" s="8" t="s">
        <v>47</v>
      </c>
    </row>
    <row r="58" spans="1:10" x14ac:dyDescent="0.35">
      <c r="A58" s="6" t="s">
        <v>41</v>
      </c>
      <c r="B58" s="7" t="s">
        <v>42</v>
      </c>
      <c r="C58" s="7" t="s">
        <v>42</v>
      </c>
      <c r="D58" s="7" t="s">
        <v>43</v>
      </c>
      <c r="E58" s="7" t="s">
        <v>44</v>
      </c>
      <c r="F58" s="10">
        <v>-34.4</v>
      </c>
      <c r="G58" s="10"/>
      <c r="H58" s="7" t="s">
        <v>45</v>
      </c>
      <c r="I58" s="7" t="s">
        <v>46</v>
      </c>
      <c r="J58" s="8" t="s">
        <v>47</v>
      </c>
    </row>
    <row r="61" spans="1:10" x14ac:dyDescent="0.35">
      <c r="F61" s="12"/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34DE-4A79-44B5-9639-E20A19D03D5E}">
  <dimension ref="A1:B35"/>
  <sheetViews>
    <sheetView workbookViewId="0">
      <selection activeCell="A28" sqref="A28"/>
    </sheetView>
  </sheetViews>
  <sheetFormatPr defaultRowHeight="12.75" x14ac:dyDescent="0.35"/>
  <cols>
    <col min="1" max="1" width="31.06640625" bestFit="1" customWidth="1"/>
    <col min="2" max="2" width="14.6640625" bestFit="1" customWidth="1"/>
  </cols>
  <sheetData>
    <row r="1" spans="1:2" x14ac:dyDescent="0.35">
      <c r="A1" s="13" t="s">
        <v>37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-160</v>
      </c>
    </row>
    <row r="7" spans="1:2" x14ac:dyDescent="0.35">
      <c r="A7" s="28" t="s">
        <v>124</v>
      </c>
      <c r="B7" s="12">
        <v>-160</v>
      </c>
    </row>
    <row r="8" spans="1:2" x14ac:dyDescent="0.35">
      <c r="A8" s="14" t="s">
        <v>45</v>
      </c>
      <c r="B8" s="12">
        <v>-231.3</v>
      </c>
    </row>
    <row r="9" spans="1:2" x14ac:dyDescent="0.35">
      <c r="A9" s="28" t="s">
        <v>46</v>
      </c>
      <c r="B9" s="12">
        <v>-231.3</v>
      </c>
    </row>
    <row r="10" spans="1:2" x14ac:dyDescent="0.35">
      <c r="A10" s="14" t="s">
        <v>50</v>
      </c>
      <c r="B10" s="12">
        <v>-914.20000000000016</v>
      </c>
    </row>
    <row r="11" spans="1:2" x14ac:dyDescent="0.35">
      <c r="A11" s="28" t="s">
        <v>165</v>
      </c>
      <c r="B11" s="12">
        <v>-17.98</v>
      </c>
    </row>
    <row r="12" spans="1:2" x14ac:dyDescent="0.35">
      <c r="A12" s="28" t="s">
        <v>15</v>
      </c>
      <c r="B12" s="12">
        <v>-249.64999999999998</v>
      </c>
    </row>
    <row r="13" spans="1:2" x14ac:dyDescent="0.35">
      <c r="A13" s="28" t="s">
        <v>19</v>
      </c>
      <c r="B13" s="12">
        <v>-287.45000000000005</v>
      </c>
    </row>
    <row r="14" spans="1:2" x14ac:dyDescent="0.35">
      <c r="A14" s="28" t="s">
        <v>195</v>
      </c>
      <c r="B14" s="12">
        <v>-25.95</v>
      </c>
    </row>
    <row r="15" spans="1:2" x14ac:dyDescent="0.35">
      <c r="A15" s="28" t="s">
        <v>21</v>
      </c>
      <c r="B15" s="12">
        <v>-24.96</v>
      </c>
    </row>
    <row r="16" spans="1:2" x14ac:dyDescent="0.35">
      <c r="A16" s="28" t="s">
        <v>51</v>
      </c>
      <c r="B16" s="12">
        <v>-100.5</v>
      </c>
    </row>
    <row r="17" spans="1:2" x14ac:dyDescent="0.35">
      <c r="A17" s="28" t="s">
        <v>69</v>
      </c>
      <c r="B17" s="12">
        <v>-207.71</v>
      </c>
    </row>
    <row r="18" spans="1:2" x14ac:dyDescent="0.35">
      <c r="A18" s="14" t="s">
        <v>101</v>
      </c>
      <c r="B18" s="12">
        <v>23.96</v>
      </c>
    </row>
    <row r="19" spans="1:2" x14ac:dyDescent="0.35">
      <c r="A19" s="28" t="s">
        <v>59</v>
      </c>
      <c r="B19" s="12">
        <v>23.96</v>
      </c>
    </row>
    <row r="20" spans="1:2" x14ac:dyDescent="0.35">
      <c r="A20" s="14" t="s">
        <v>58</v>
      </c>
      <c r="B20" s="12">
        <v>4240.7700000000004</v>
      </c>
    </row>
    <row r="21" spans="1:2" x14ac:dyDescent="0.35">
      <c r="A21" s="28" t="s">
        <v>59</v>
      </c>
      <c r="B21" s="12">
        <v>4240.7700000000004</v>
      </c>
    </row>
    <row r="22" spans="1:2" x14ac:dyDescent="0.35">
      <c r="A22" s="14" t="s">
        <v>1698</v>
      </c>
      <c r="B22" s="12">
        <v>-881.2</v>
      </c>
    </row>
    <row r="23" spans="1:2" x14ac:dyDescent="0.35">
      <c r="A23" s="28" t="s">
        <v>205</v>
      </c>
      <c r="B23" s="12">
        <v>-881.2</v>
      </c>
    </row>
    <row r="24" spans="1:2" x14ac:dyDescent="0.35">
      <c r="A24" s="14" t="s">
        <v>90</v>
      </c>
      <c r="B24" s="12">
        <v>-412.18999999999994</v>
      </c>
    </row>
    <row r="25" spans="1:2" x14ac:dyDescent="0.35">
      <c r="A25" s="28" t="s">
        <v>106</v>
      </c>
      <c r="B25" s="12">
        <v>-280.21999999999997</v>
      </c>
    </row>
    <row r="26" spans="1:2" x14ac:dyDescent="0.35">
      <c r="A26" s="28" t="s">
        <v>78</v>
      </c>
      <c r="B26" s="12">
        <v>-131.97</v>
      </c>
    </row>
    <row r="27" spans="1:2" x14ac:dyDescent="0.35">
      <c r="A27" s="14" t="s">
        <v>136</v>
      </c>
      <c r="B27" s="12">
        <v>-1253</v>
      </c>
    </row>
    <row r="28" spans="1:2" x14ac:dyDescent="0.35">
      <c r="A28" s="28" t="s">
        <v>394</v>
      </c>
      <c r="B28" s="12">
        <v>-1253</v>
      </c>
    </row>
    <row r="29" spans="1:2" x14ac:dyDescent="0.35">
      <c r="A29" s="14" t="s">
        <v>77</v>
      </c>
      <c r="B29" s="12">
        <v>-182.45</v>
      </c>
    </row>
    <row r="30" spans="1:2" x14ac:dyDescent="0.35">
      <c r="A30" s="28" t="s">
        <v>78</v>
      </c>
      <c r="B30" s="12">
        <v>-182.45</v>
      </c>
    </row>
    <row r="31" spans="1:2" x14ac:dyDescent="0.35">
      <c r="A31" s="14" t="s">
        <v>73</v>
      </c>
      <c r="B31" s="12">
        <v>-21.75</v>
      </c>
    </row>
    <row r="32" spans="1:2" x14ac:dyDescent="0.35">
      <c r="A32" s="28" t="s">
        <v>192</v>
      </c>
      <c r="B32" s="12">
        <v>-17.95</v>
      </c>
    </row>
    <row r="33" spans="1:2" x14ac:dyDescent="0.35">
      <c r="A33" s="28" t="s">
        <v>112</v>
      </c>
      <c r="B33" s="12">
        <v>-2.2000000000000002</v>
      </c>
    </row>
    <row r="34" spans="1:2" x14ac:dyDescent="0.35">
      <c r="A34" s="28" t="s">
        <v>74</v>
      </c>
      <c r="B34" s="12">
        <v>-1.6</v>
      </c>
    </row>
    <row r="35" spans="1:2" x14ac:dyDescent="0.35">
      <c r="A35" s="14" t="s">
        <v>208</v>
      </c>
      <c r="B35" s="12">
        <v>758.6400000000009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808A-2015-458D-BB01-6F4A3B5166DD}">
  <dimension ref="A1:J57"/>
  <sheetViews>
    <sheetView workbookViewId="0">
      <selection activeCell="A54" sqref="A54:XFD54"/>
    </sheetView>
  </sheetViews>
  <sheetFormatPr defaultRowHeight="12.75" x14ac:dyDescent="0.35"/>
  <cols>
    <col min="1" max="1" width="20.3984375" customWidth="1"/>
    <col min="2" max="2" width="16.73046875" customWidth="1"/>
    <col min="3" max="3" width="12.265625" customWidth="1"/>
    <col min="4" max="4" width="114" bestFit="1" customWidth="1"/>
    <col min="6" max="7" width="9.3984375" customWidth="1"/>
    <col min="8" max="8" width="16" bestFit="1" customWidth="1"/>
    <col min="9" max="9" width="25.86328125" bestFit="1" customWidth="1"/>
    <col min="10" max="10" width="10.265625" customWidth="1"/>
  </cols>
  <sheetData>
    <row r="1" spans="1:10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5" t="s">
        <v>40</v>
      </c>
    </row>
    <row r="2" spans="1:10" x14ac:dyDescent="0.35">
      <c r="A2" s="1" t="s">
        <v>311</v>
      </c>
      <c r="B2" s="47" t="s">
        <v>217</v>
      </c>
      <c r="C2" s="47" t="s">
        <v>244</v>
      </c>
      <c r="D2" s="47" t="s">
        <v>312</v>
      </c>
      <c r="E2" s="47" t="s">
        <v>44</v>
      </c>
      <c r="F2" s="48">
        <v>-109.6</v>
      </c>
      <c r="G2" s="48"/>
      <c r="H2" s="47" t="s">
        <v>45</v>
      </c>
      <c r="I2" s="47" t="s">
        <v>46</v>
      </c>
      <c r="J2" s="2" t="s">
        <v>47</v>
      </c>
    </row>
    <row r="3" spans="1:10" x14ac:dyDescent="0.35">
      <c r="A3" s="1" t="s">
        <v>306</v>
      </c>
      <c r="B3" s="47" t="s">
        <v>217</v>
      </c>
      <c r="C3" s="47" t="s">
        <v>217</v>
      </c>
      <c r="D3" s="47" t="s">
        <v>76</v>
      </c>
      <c r="E3" s="47" t="s">
        <v>44</v>
      </c>
      <c r="F3" s="48">
        <v>-67.5</v>
      </c>
      <c r="G3" s="48"/>
      <c r="H3" s="47" t="s">
        <v>77</v>
      </c>
      <c r="I3" s="47" t="s">
        <v>78</v>
      </c>
      <c r="J3" s="2" t="s">
        <v>79</v>
      </c>
    </row>
    <row r="4" spans="1:10" x14ac:dyDescent="0.35">
      <c r="A4" s="1" t="s">
        <v>305</v>
      </c>
      <c r="B4" s="47" t="s">
        <v>217</v>
      </c>
      <c r="C4" s="47" t="s">
        <v>244</v>
      </c>
      <c r="D4" s="47" t="s">
        <v>173</v>
      </c>
      <c r="E4" s="47" t="s">
        <v>44</v>
      </c>
      <c r="F4" s="48">
        <v>-59.53</v>
      </c>
      <c r="G4" s="48"/>
      <c r="H4" s="47" t="s">
        <v>50</v>
      </c>
      <c r="I4" s="47" t="s">
        <v>15</v>
      </c>
      <c r="J4" s="2" t="s">
        <v>47</v>
      </c>
    </row>
    <row r="5" spans="1:10" x14ac:dyDescent="0.35">
      <c r="A5" s="1" t="s">
        <v>286</v>
      </c>
      <c r="B5" s="47" t="s">
        <v>217</v>
      </c>
      <c r="C5" s="47" t="s">
        <v>244</v>
      </c>
      <c r="D5" s="47" t="s">
        <v>287</v>
      </c>
      <c r="E5" s="47" t="s">
        <v>44</v>
      </c>
      <c r="F5" s="48">
        <v>-41.1</v>
      </c>
      <c r="G5" s="48"/>
      <c r="H5" s="7" t="s">
        <v>251</v>
      </c>
      <c r="I5" s="7" t="s">
        <v>288</v>
      </c>
      <c r="J5" s="2" t="s">
        <v>47</v>
      </c>
    </row>
    <row r="6" spans="1:10" x14ac:dyDescent="0.35">
      <c r="A6" s="1" t="s">
        <v>258</v>
      </c>
      <c r="B6" s="47" t="s">
        <v>217</v>
      </c>
      <c r="C6" s="47" t="s">
        <v>244</v>
      </c>
      <c r="D6" s="47" t="s">
        <v>259</v>
      </c>
      <c r="E6" s="47" t="s">
        <v>44</v>
      </c>
      <c r="F6" s="48">
        <v>-20</v>
      </c>
      <c r="G6" s="48"/>
      <c r="H6" s="47" t="s">
        <v>90</v>
      </c>
      <c r="I6" s="47" t="s">
        <v>106</v>
      </c>
      <c r="J6" s="2" t="s">
        <v>47</v>
      </c>
    </row>
    <row r="7" spans="1:10" x14ac:dyDescent="0.35">
      <c r="A7" s="1" t="s">
        <v>243</v>
      </c>
      <c r="B7" s="47" t="s">
        <v>217</v>
      </c>
      <c r="C7" s="47" t="s">
        <v>244</v>
      </c>
      <c r="D7" s="47" t="s">
        <v>245</v>
      </c>
      <c r="E7" s="47" t="s">
        <v>44</v>
      </c>
      <c r="F7" s="48">
        <v>-12.7</v>
      </c>
      <c r="G7" s="48"/>
      <c r="H7" s="47" t="s">
        <v>90</v>
      </c>
      <c r="I7" s="47" t="s">
        <v>78</v>
      </c>
      <c r="J7" s="2" t="s">
        <v>47</v>
      </c>
    </row>
    <row r="8" spans="1:10" x14ac:dyDescent="0.35">
      <c r="A8" s="1" t="s">
        <v>216</v>
      </c>
      <c r="B8" s="47" t="s">
        <v>217</v>
      </c>
      <c r="C8" s="47" t="s">
        <v>217</v>
      </c>
      <c r="D8" s="47" t="s">
        <v>218</v>
      </c>
      <c r="E8" s="47" t="s">
        <v>44</v>
      </c>
      <c r="F8" s="48">
        <v>550</v>
      </c>
      <c r="G8" s="48"/>
      <c r="H8" s="47" t="s">
        <v>176</v>
      </c>
      <c r="I8" s="47" t="s">
        <v>59</v>
      </c>
      <c r="J8" s="2" t="s">
        <v>60</v>
      </c>
    </row>
    <row r="9" spans="1:10" x14ac:dyDescent="0.35">
      <c r="A9" s="1" t="s">
        <v>325</v>
      </c>
      <c r="B9" s="47" t="s">
        <v>234</v>
      </c>
      <c r="C9" s="47" t="s">
        <v>234</v>
      </c>
      <c r="D9" s="47" t="s">
        <v>96</v>
      </c>
      <c r="E9" s="47" t="s">
        <v>44</v>
      </c>
      <c r="F9" s="48">
        <v>-5000</v>
      </c>
      <c r="G9" s="48" t="s">
        <v>97</v>
      </c>
      <c r="H9" s="47" t="s">
        <v>323</v>
      </c>
      <c r="I9" s="47" t="s">
        <v>59</v>
      </c>
      <c r="J9" s="2" t="s">
        <v>60</v>
      </c>
    </row>
    <row r="10" spans="1:10" x14ac:dyDescent="0.35">
      <c r="A10" s="1" t="s">
        <v>253</v>
      </c>
      <c r="B10" s="47" t="s">
        <v>234</v>
      </c>
      <c r="C10" s="47" t="s">
        <v>235</v>
      </c>
      <c r="D10" s="47" t="s">
        <v>254</v>
      </c>
      <c r="E10" s="47" t="s">
        <v>44</v>
      </c>
      <c r="F10" s="48">
        <v>-15.9</v>
      </c>
      <c r="G10" s="48"/>
      <c r="H10" s="47" t="s">
        <v>50</v>
      </c>
      <c r="I10" s="47" t="s">
        <v>15</v>
      </c>
      <c r="J10" s="2" t="s">
        <v>47</v>
      </c>
    </row>
    <row r="11" spans="1:10" x14ac:dyDescent="0.35">
      <c r="A11" s="1" t="s">
        <v>233</v>
      </c>
      <c r="B11" s="47" t="s">
        <v>234</v>
      </c>
      <c r="C11" s="47" t="s">
        <v>235</v>
      </c>
      <c r="D11" s="47" t="s">
        <v>236</v>
      </c>
      <c r="E11" s="47" t="s">
        <v>44</v>
      </c>
      <c r="F11" s="48">
        <v>-3.99</v>
      </c>
      <c r="G11" s="48"/>
      <c r="H11" s="47" t="s">
        <v>45</v>
      </c>
      <c r="I11" s="47" t="s">
        <v>46</v>
      </c>
      <c r="J11" s="2" t="s">
        <v>91</v>
      </c>
    </row>
    <row r="12" spans="1:10" x14ac:dyDescent="0.35">
      <c r="A12" s="1" t="s">
        <v>321</v>
      </c>
      <c r="B12" s="47" t="s">
        <v>244</v>
      </c>
      <c r="C12" s="47" t="s">
        <v>244</v>
      </c>
      <c r="D12" s="47" t="s">
        <v>199</v>
      </c>
      <c r="E12" s="47" t="s">
        <v>44</v>
      </c>
      <c r="F12" s="48">
        <v>-1030.52</v>
      </c>
      <c r="G12" s="48" t="s">
        <v>97</v>
      </c>
      <c r="H12" s="47" t="s">
        <v>77</v>
      </c>
      <c r="I12" s="47" t="s">
        <v>200</v>
      </c>
      <c r="J12" s="2" t="s">
        <v>79</v>
      </c>
    </row>
    <row r="13" spans="1:10" x14ac:dyDescent="0.35">
      <c r="A13" s="1" t="s">
        <v>301</v>
      </c>
      <c r="B13" s="47" t="s">
        <v>235</v>
      </c>
      <c r="C13" s="47" t="s">
        <v>248</v>
      </c>
      <c r="D13" s="47" t="s">
        <v>63</v>
      </c>
      <c r="E13" s="47" t="s">
        <v>44</v>
      </c>
      <c r="F13" s="48">
        <v>-50.63</v>
      </c>
      <c r="G13" s="48"/>
      <c r="H13" s="47" t="s">
        <v>50</v>
      </c>
      <c r="I13" s="47" t="s">
        <v>15</v>
      </c>
      <c r="J13" s="2" t="s">
        <v>47</v>
      </c>
    </row>
    <row r="14" spans="1:10" x14ac:dyDescent="0.35">
      <c r="A14" s="1" t="s">
        <v>295</v>
      </c>
      <c r="B14" s="47" t="s">
        <v>235</v>
      </c>
      <c r="C14" s="47" t="s">
        <v>248</v>
      </c>
      <c r="D14" s="47" t="s">
        <v>296</v>
      </c>
      <c r="E14" s="47" t="s">
        <v>44</v>
      </c>
      <c r="F14" s="48">
        <v>-44.25</v>
      </c>
      <c r="G14" s="48"/>
      <c r="H14" s="47" t="s">
        <v>251</v>
      </c>
      <c r="I14" s="47" t="s">
        <v>297</v>
      </c>
      <c r="J14" s="2" t="s">
        <v>47</v>
      </c>
    </row>
    <row r="15" spans="1:10" x14ac:dyDescent="0.35">
      <c r="A15" s="1" t="s">
        <v>314</v>
      </c>
      <c r="B15" s="47" t="s">
        <v>315</v>
      </c>
      <c r="C15" s="47" t="s">
        <v>256</v>
      </c>
      <c r="D15" s="47" t="s">
        <v>316</v>
      </c>
      <c r="E15" s="47" t="s">
        <v>44</v>
      </c>
      <c r="F15" s="48">
        <v>-240</v>
      </c>
      <c r="G15" s="48"/>
      <c r="H15" s="47" t="s">
        <v>50</v>
      </c>
      <c r="I15" s="47" t="s">
        <v>15</v>
      </c>
      <c r="J15" s="2" t="s">
        <v>91</v>
      </c>
    </row>
    <row r="16" spans="1:10" x14ac:dyDescent="0.35">
      <c r="A16" s="1" t="s">
        <v>282</v>
      </c>
      <c r="B16" s="47" t="s">
        <v>248</v>
      </c>
      <c r="C16" s="47" t="s">
        <v>277</v>
      </c>
      <c r="D16" s="47" t="s">
        <v>283</v>
      </c>
      <c r="E16" s="47" t="s">
        <v>44</v>
      </c>
      <c r="F16" s="48">
        <v>-40.590000000000003</v>
      </c>
      <c r="G16" s="48"/>
      <c r="H16" s="47" t="s">
        <v>90</v>
      </c>
      <c r="I16" s="47" t="s">
        <v>78</v>
      </c>
      <c r="J16" s="2" t="s">
        <v>91</v>
      </c>
    </row>
    <row r="17" spans="1:10" x14ac:dyDescent="0.35">
      <c r="A17" s="1" t="s">
        <v>247</v>
      </c>
      <c r="B17" s="47" t="s">
        <v>248</v>
      </c>
      <c r="C17" s="47" t="s">
        <v>249</v>
      </c>
      <c r="D17" s="47" t="s">
        <v>250</v>
      </c>
      <c r="E17" s="47" t="s">
        <v>44</v>
      </c>
      <c r="F17" s="48">
        <v>-15.5</v>
      </c>
      <c r="G17" s="48"/>
      <c r="H17" s="47" t="s">
        <v>251</v>
      </c>
      <c r="I17" s="47" t="s">
        <v>252</v>
      </c>
      <c r="J17" s="2" t="s">
        <v>47</v>
      </c>
    </row>
    <row r="18" spans="1:10" x14ac:dyDescent="0.35">
      <c r="A18" s="1" t="s">
        <v>322</v>
      </c>
      <c r="B18" s="47" t="s">
        <v>256</v>
      </c>
      <c r="C18" s="47" t="s">
        <v>256</v>
      </c>
      <c r="D18" s="47" t="s">
        <v>96</v>
      </c>
      <c r="E18" s="47" t="s">
        <v>44</v>
      </c>
      <c r="F18" s="48">
        <v>-2000</v>
      </c>
      <c r="G18" s="48" t="s">
        <v>97</v>
      </c>
      <c r="H18" s="47" t="s">
        <v>323</v>
      </c>
      <c r="I18" s="47" t="s">
        <v>59</v>
      </c>
      <c r="J18" s="2" t="s">
        <v>60</v>
      </c>
    </row>
    <row r="19" spans="1:10" x14ac:dyDescent="0.35">
      <c r="A19" s="1" t="s">
        <v>317</v>
      </c>
      <c r="B19" s="47" t="s">
        <v>256</v>
      </c>
      <c r="C19" s="47" t="s">
        <v>256</v>
      </c>
      <c r="D19" s="47" t="s">
        <v>318</v>
      </c>
      <c r="E19" s="47" t="s">
        <v>44</v>
      </c>
      <c r="F19" s="48">
        <v>-300</v>
      </c>
      <c r="G19" s="48"/>
      <c r="H19" s="47" t="s">
        <v>77</v>
      </c>
      <c r="I19" s="47" t="s">
        <v>78</v>
      </c>
      <c r="J19" s="2" t="s">
        <v>60</v>
      </c>
    </row>
    <row r="20" spans="1:10" x14ac:dyDescent="0.35">
      <c r="A20" s="1" t="s">
        <v>313</v>
      </c>
      <c r="B20" s="47" t="s">
        <v>256</v>
      </c>
      <c r="C20" s="47" t="s">
        <v>277</v>
      </c>
      <c r="D20" s="47" t="s">
        <v>86</v>
      </c>
      <c r="E20" s="47" t="s">
        <v>44</v>
      </c>
      <c r="F20" s="48">
        <v>-145.1</v>
      </c>
      <c r="G20" s="48"/>
      <c r="H20" s="47" t="s">
        <v>50</v>
      </c>
      <c r="I20" s="47" t="s">
        <v>19</v>
      </c>
      <c r="J20" s="2" t="s">
        <v>47</v>
      </c>
    </row>
    <row r="21" spans="1:10" x14ac:dyDescent="0.35">
      <c r="A21" s="1" t="s">
        <v>276</v>
      </c>
      <c r="B21" s="47" t="s">
        <v>256</v>
      </c>
      <c r="C21" s="47" t="s">
        <v>277</v>
      </c>
      <c r="D21" s="47" t="s">
        <v>94</v>
      </c>
      <c r="E21" s="47" t="s">
        <v>44</v>
      </c>
      <c r="F21" s="48">
        <v>-31.89</v>
      </c>
      <c r="G21" s="48"/>
      <c r="H21" s="47" t="s">
        <v>50</v>
      </c>
      <c r="I21" s="47" t="s">
        <v>15</v>
      </c>
      <c r="J21" s="2" t="s">
        <v>47</v>
      </c>
    </row>
    <row r="22" spans="1:10" x14ac:dyDescent="0.35">
      <c r="A22" s="1" t="s">
        <v>255</v>
      </c>
      <c r="B22" s="47" t="s">
        <v>256</v>
      </c>
      <c r="C22" s="47" t="s">
        <v>249</v>
      </c>
      <c r="D22" s="47" t="s">
        <v>257</v>
      </c>
      <c r="E22" s="47" t="s">
        <v>44</v>
      </c>
      <c r="F22" s="48">
        <v>-18.98</v>
      </c>
      <c r="G22" s="48"/>
      <c r="H22" s="47" t="s">
        <v>50</v>
      </c>
      <c r="I22" s="47" t="s">
        <v>165</v>
      </c>
      <c r="J22" s="2" t="s">
        <v>91</v>
      </c>
    </row>
    <row r="23" spans="1:10" x14ac:dyDescent="0.35">
      <c r="A23" s="1" t="s">
        <v>278</v>
      </c>
      <c r="B23" s="47" t="s">
        <v>249</v>
      </c>
      <c r="C23" s="47" t="s">
        <v>210</v>
      </c>
      <c r="D23" s="47" t="s">
        <v>279</v>
      </c>
      <c r="E23" s="47" t="s">
        <v>44</v>
      </c>
      <c r="F23" s="48">
        <v>-33.5</v>
      </c>
      <c r="G23" s="48"/>
      <c r="H23" s="47" t="s">
        <v>73</v>
      </c>
      <c r="I23" s="47" t="s">
        <v>280</v>
      </c>
      <c r="J23" s="2" t="s">
        <v>47</v>
      </c>
    </row>
    <row r="24" spans="1:10" x14ac:dyDescent="0.35">
      <c r="A24" s="1" t="s">
        <v>324</v>
      </c>
      <c r="B24" s="47" t="s">
        <v>277</v>
      </c>
      <c r="C24" s="47" t="s">
        <v>277</v>
      </c>
      <c r="D24" s="47" t="s">
        <v>96</v>
      </c>
      <c r="E24" s="47" t="s">
        <v>44</v>
      </c>
      <c r="F24" s="48">
        <v>-4000</v>
      </c>
      <c r="G24" s="48" t="s">
        <v>97</v>
      </c>
      <c r="H24" s="47" t="s">
        <v>323</v>
      </c>
      <c r="I24" s="47" t="s">
        <v>59</v>
      </c>
      <c r="J24" s="2" t="s">
        <v>60</v>
      </c>
    </row>
    <row r="25" spans="1:10" x14ac:dyDescent="0.35">
      <c r="A25" s="1" t="s">
        <v>281</v>
      </c>
      <c r="B25" s="47" t="s">
        <v>277</v>
      </c>
      <c r="C25" s="47" t="s">
        <v>242</v>
      </c>
      <c r="D25" s="47" t="s">
        <v>63</v>
      </c>
      <c r="E25" s="47" t="s">
        <v>44</v>
      </c>
      <c r="F25" s="48">
        <v>-34.549999999999997</v>
      </c>
      <c r="G25" s="48"/>
      <c r="H25" s="47" t="s">
        <v>50</v>
      </c>
      <c r="I25" s="47" t="s">
        <v>15</v>
      </c>
      <c r="J25" s="2" t="s">
        <v>47</v>
      </c>
    </row>
    <row r="26" spans="1:10" x14ac:dyDescent="0.35">
      <c r="A26" s="1" t="s">
        <v>264</v>
      </c>
      <c r="B26" s="47" t="s">
        <v>210</v>
      </c>
      <c r="C26" s="47" t="s">
        <v>242</v>
      </c>
      <c r="D26" s="47" t="s">
        <v>265</v>
      </c>
      <c r="E26" s="47" t="s">
        <v>44</v>
      </c>
      <c r="F26" s="48">
        <v>-24</v>
      </c>
      <c r="G26" s="48"/>
      <c r="H26" s="47" t="s">
        <v>45</v>
      </c>
      <c r="I26" s="47" t="s">
        <v>46</v>
      </c>
      <c r="J26" s="2" t="s">
        <v>47</v>
      </c>
    </row>
    <row r="27" spans="1:10" x14ac:dyDescent="0.35">
      <c r="A27" s="1" t="s">
        <v>241</v>
      </c>
      <c r="B27" s="47" t="s">
        <v>210</v>
      </c>
      <c r="C27" s="47" t="s">
        <v>242</v>
      </c>
      <c r="D27" s="47" t="s">
        <v>105</v>
      </c>
      <c r="E27" s="47" t="s">
        <v>44</v>
      </c>
      <c r="F27" s="48">
        <v>-11.6</v>
      </c>
      <c r="G27" s="48"/>
      <c r="H27" s="47" t="s">
        <v>90</v>
      </c>
      <c r="I27" s="47" t="s">
        <v>106</v>
      </c>
      <c r="J27" s="2" t="s">
        <v>47</v>
      </c>
    </row>
    <row r="28" spans="1:10" x14ac:dyDescent="0.35">
      <c r="A28" s="1" t="s">
        <v>219</v>
      </c>
      <c r="B28" s="47" t="s">
        <v>210</v>
      </c>
      <c r="C28" s="47" t="s">
        <v>210</v>
      </c>
      <c r="D28" s="47" t="s">
        <v>220</v>
      </c>
      <c r="E28" s="47" t="s">
        <v>44</v>
      </c>
      <c r="F28" s="48">
        <v>499.56</v>
      </c>
      <c r="G28" s="48"/>
      <c r="H28" s="47" t="s">
        <v>58</v>
      </c>
      <c r="I28" s="47" t="s">
        <v>59</v>
      </c>
      <c r="J28" s="2" t="s">
        <v>60</v>
      </c>
    </row>
    <row r="29" spans="1:10" x14ac:dyDescent="0.35">
      <c r="A29" s="1" t="s">
        <v>209</v>
      </c>
      <c r="B29" s="47" t="s">
        <v>210</v>
      </c>
      <c r="C29" s="47" t="s">
        <v>210</v>
      </c>
      <c r="D29" s="47" t="s">
        <v>211</v>
      </c>
      <c r="E29" s="47" t="s">
        <v>44</v>
      </c>
      <c r="F29" s="48">
        <v>3618.28</v>
      </c>
      <c r="G29" s="48"/>
      <c r="H29" s="47" t="s">
        <v>58</v>
      </c>
      <c r="I29" s="47" t="s">
        <v>59</v>
      </c>
      <c r="J29" s="2" t="s">
        <v>60</v>
      </c>
    </row>
    <row r="30" spans="1:10" x14ac:dyDescent="0.35">
      <c r="A30" s="1" t="s">
        <v>307</v>
      </c>
      <c r="B30" s="47" t="s">
        <v>268</v>
      </c>
      <c r="C30" s="47" t="s">
        <v>269</v>
      </c>
      <c r="D30" s="47" t="s">
        <v>308</v>
      </c>
      <c r="E30" s="47" t="s">
        <v>44</v>
      </c>
      <c r="F30" s="48">
        <v>-68.95</v>
      </c>
      <c r="G30" s="48"/>
      <c r="H30" s="47" t="s">
        <v>73</v>
      </c>
      <c r="I30" s="47" t="s">
        <v>309</v>
      </c>
      <c r="J30" s="2" t="s">
        <v>47</v>
      </c>
    </row>
    <row r="31" spans="1:10" x14ac:dyDescent="0.35">
      <c r="A31" s="1" t="s">
        <v>284</v>
      </c>
      <c r="B31" s="47" t="s">
        <v>268</v>
      </c>
      <c r="C31" s="47" t="s">
        <v>285</v>
      </c>
      <c r="D31" s="47" t="s">
        <v>89</v>
      </c>
      <c r="E31" s="47" t="s">
        <v>44</v>
      </c>
      <c r="F31" s="48">
        <v>-40.840000000000003</v>
      </c>
      <c r="G31" s="48"/>
      <c r="H31" s="47" t="s">
        <v>90</v>
      </c>
      <c r="I31" s="47" t="s">
        <v>78</v>
      </c>
      <c r="J31" s="2" t="s">
        <v>91</v>
      </c>
    </row>
    <row r="32" spans="1:10" x14ac:dyDescent="0.35">
      <c r="A32" s="1" t="s">
        <v>267</v>
      </c>
      <c r="B32" s="47" t="s">
        <v>268</v>
      </c>
      <c r="C32" s="47" t="s">
        <v>269</v>
      </c>
      <c r="D32" s="47" t="s">
        <v>270</v>
      </c>
      <c r="E32" s="47" t="s">
        <v>44</v>
      </c>
      <c r="F32" s="48">
        <v>-29</v>
      </c>
      <c r="G32" s="48"/>
      <c r="H32" s="47" t="s">
        <v>45</v>
      </c>
      <c r="I32" s="47" t="s">
        <v>46</v>
      </c>
      <c r="J32" s="2" t="s">
        <v>47</v>
      </c>
    </row>
    <row r="33" spans="1:10" x14ac:dyDescent="0.35">
      <c r="A33" s="1" t="s">
        <v>275</v>
      </c>
      <c r="B33" s="47" t="s">
        <v>242</v>
      </c>
      <c r="C33" s="47" t="s">
        <v>224</v>
      </c>
      <c r="D33" s="47" t="s">
        <v>254</v>
      </c>
      <c r="E33" s="47" t="s">
        <v>44</v>
      </c>
      <c r="F33" s="48">
        <v>-30.97</v>
      </c>
      <c r="G33" s="48"/>
      <c r="H33" s="47" t="s">
        <v>50</v>
      </c>
      <c r="I33" s="47" t="s">
        <v>15</v>
      </c>
      <c r="J33" s="2" t="s">
        <v>47</v>
      </c>
    </row>
    <row r="34" spans="1:10" x14ac:dyDescent="0.35">
      <c r="A34" s="1" t="s">
        <v>298</v>
      </c>
      <c r="B34" s="47" t="s">
        <v>269</v>
      </c>
      <c r="C34" s="47" t="s">
        <v>269</v>
      </c>
      <c r="D34" s="47" t="s">
        <v>299</v>
      </c>
      <c r="E34" s="47" t="s">
        <v>44</v>
      </c>
      <c r="F34" s="48">
        <v>-47.78</v>
      </c>
      <c r="G34" s="48"/>
      <c r="H34" s="47" t="s">
        <v>50</v>
      </c>
      <c r="I34" s="47" t="s">
        <v>21</v>
      </c>
      <c r="J34" s="2" t="s">
        <v>79</v>
      </c>
    </row>
    <row r="35" spans="1:10" x14ac:dyDescent="0.35">
      <c r="A35" s="1" t="s">
        <v>289</v>
      </c>
      <c r="B35" s="47" t="s">
        <v>224</v>
      </c>
      <c r="C35" s="47" t="s">
        <v>225</v>
      </c>
      <c r="D35" s="47" t="s">
        <v>290</v>
      </c>
      <c r="E35" s="47" t="s">
        <v>44</v>
      </c>
      <c r="F35" s="48">
        <v>-41.29</v>
      </c>
      <c r="G35" s="48"/>
      <c r="H35" s="47" t="s">
        <v>50</v>
      </c>
      <c r="I35" s="47" t="s">
        <v>15</v>
      </c>
      <c r="J35" s="2" t="s">
        <v>47</v>
      </c>
    </row>
    <row r="36" spans="1:10" x14ac:dyDescent="0.35">
      <c r="A36" s="1" t="s">
        <v>223</v>
      </c>
      <c r="B36" s="47" t="s">
        <v>224</v>
      </c>
      <c r="C36" s="47" t="s">
        <v>225</v>
      </c>
      <c r="D36" s="47" t="s">
        <v>226</v>
      </c>
      <c r="E36" s="47" t="s">
        <v>44</v>
      </c>
      <c r="F36" s="48">
        <v>-1.4</v>
      </c>
      <c r="G36" s="48"/>
      <c r="H36" s="47" t="s">
        <v>73</v>
      </c>
      <c r="I36" s="47" t="s">
        <v>112</v>
      </c>
      <c r="J36" s="2" t="s">
        <v>47</v>
      </c>
    </row>
    <row r="37" spans="1:10" x14ac:dyDescent="0.35">
      <c r="A37" s="1" t="s">
        <v>310</v>
      </c>
      <c r="B37" s="47" t="s">
        <v>225</v>
      </c>
      <c r="C37" s="47" t="s">
        <v>240</v>
      </c>
      <c r="D37" s="47" t="s">
        <v>63</v>
      </c>
      <c r="E37" s="47" t="s">
        <v>44</v>
      </c>
      <c r="F37" s="48">
        <v>-75.13</v>
      </c>
      <c r="G37" s="48"/>
      <c r="H37" s="47" t="s">
        <v>50</v>
      </c>
      <c r="I37" s="47" t="s">
        <v>15</v>
      </c>
      <c r="J37" s="2" t="s">
        <v>47</v>
      </c>
    </row>
    <row r="38" spans="1:10" x14ac:dyDescent="0.35">
      <c r="A38" s="1" t="s">
        <v>294</v>
      </c>
      <c r="B38" s="47" t="s">
        <v>225</v>
      </c>
      <c r="C38" s="47" t="s">
        <v>240</v>
      </c>
      <c r="D38" s="47" t="s">
        <v>194</v>
      </c>
      <c r="E38" s="47" t="s">
        <v>44</v>
      </c>
      <c r="F38" s="48">
        <v>-44.17</v>
      </c>
      <c r="G38" s="48"/>
      <c r="H38" s="47" t="s">
        <v>50</v>
      </c>
      <c r="I38" s="47" t="s">
        <v>195</v>
      </c>
      <c r="J38" s="2" t="s">
        <v>47</v>
      </c>
    </row>
    <row r="39" spans="1:10" x14ac:dyDescent="0.35">
      <c r="A39" s="1" t="s">
        <v>291</v>
      </c>
      <c r="B39" s="47" t="s">
        <v>225</v>
      </c>
      <c r="C39" s="47" t="s">
        <v>240</v>
      </c>
      <c r="D39" s="47" t="s">
        <v>292</v>
      </c>
      <c r="E39" s="47" t="s">
        <v>44</v>
      </c>
      <c r="F39" s="48">
        <v>-42.5</v>
      </c>
      <c r="G39" s="48"/>
      <c r="H39" s="47" t="s">
        <v>45</v>
      </c>
      <c r="I39" s="47" t="s">
        <v>46</v>
      </c>
      <c r="J39" s="2" t="s">
        <v>47</v>
      </c>
    </row>
    <row r="40" spans="1:10" x14ac:dyDescent="0.35">
      <c r="A40" s="1" t="s">
        <v>266</v>
      </c>
      <c r="B40" s="47" t="s">
        <v>225</v>
      </c>
      <c r="C40" s="47" t="s">
        <v>240</v>
      </c>
      <c r="D40" s="47" t="s">
        <v>49</v>
      </c>
      <c r="E40" s="47" t="s">
        <v>44</v>
      </c>
      <c r="F40" s="48">
        <v>-24.95</v>
      </c>
      <c r="G40" s="48"/>
      <c r="H40" s="47" t="s">
        <v>50</v>
      </c>
      <c r="I40" s="47" t="s">
        <v>51</v>
      </c>
      <c r="J40" s="2" t="s">
        <v>47</v>
      </c>
    </row>
    <row r="41" spans="1:10" x14ac:dyDescent="0.35">
      <c r="A41" s="1" t="s">
        <v>239</v>
      </c>
      <c r="B41" s="47" t="s">
        <v>225</v>
      </c>
      <c r="C41" s="47" t="s">
        <v>240</v>
      </c>
      <c r="D41" s="47" t="s">
        <v>49</v>
      </c>
      <c r="E41" s="47" t="s">
        <v>44</v>
      </c>
      <c r="F41" s="48">
        <v>-7.9</v>
      </c>
      <c r="G41" s="48"/>
      <c r="H41" s="47" t="s">
        <v>50</v>
      </c>
      <c r="I41" s="47" t="s">
        <v>51</v>
      </c>
      <c r="J41" s="2" t="s">
        <v>47</v>
      </c>
    </row>
    <row r="42" spans="1:10" x14ac:dyDescent="0.35">
      <c r="A42" s="1" t="s">
        <v>272</v>
      </c>
      <c r="B42" s="47" t="s">
        <v>273</v>
      </c>
      <c r="C42" s="47" t="s">
        <v>213</v>
      </c>
      <c r="D42" s="47" t="s">
        <v>274</v>
      </c>
      <c r="E42" s="47" t="s">
        <v>44</v>
      </c>
      <c r="F42" s="48">
        <v>-29.5</v>
      </c>
      <c r="G42" s="48"/>
      <c r="H42" s="47" t="s">
        <v>45</v>
      </c>
      <c r="I42" s="47" t="s">
        <v>46</v>
      </c>
      <c r="J42" s="2" t="s">
        <v>47</v>
      </c>
    </row>
    <row r="43" spans="1:10" x14ac:dyDescent="0.35">
      <c r="A43" s="1" t="s">
        <v>302</v>
      </c>
      <c r="B43" s="47" t="s">
        <v>240</v>
      </c>
      <c r="C43" s="47" t="s">
        <v>228</v>
      </c>
      <c r="D43" s="47" t="s">
        <v>49</v>
      </c>
      <c r="E43" s="47" t="s">
        <v>44</v>
      </c>
      <c r="F43" s="48">
        <v>-51.28</v>
      </c>
      <c r="G43" s="48"/>
      <c r="H43" s="47" t="s">
        <v>50</v>
      </c>
      <c r="I43" s="47" t="s">
        <v>51</v>
      </c>
      <c r="J43" s="2" t="s">
        <v>47</v>
      </c>
    </row>
    <row r="44" spans="1:10" x14ac:dyDescent="0.35">
      <c r="A44" s="1" t="s">
        <v>300</v>
      </c>
      <c r="B44" s="47" t="s">
        <v>240</v>
      </c>
      <c r="C44" s="47" t="s">
        <v>228</v>
      </c>
      <c r="D44" s="47" t="s">
        <v>121</v>
      </c>
      <c r="E44" s="47" t="s">
        <v>44</v>
      </c>
      <c r="F44" s="48">
        <v>-50.48</v>
      </c>
      <c r="G44" s="48"/>
      <c r="H44" s="47" t="s">
        <v>50</v>
      </c>
      <c r="I44" s="47" t="s">
        <v>15</v>
      </c>
      <c r="J44" s="2" t="s">
        <v>47</v>
      </c>
    </row>
    <row r="45" spans="1:10" x14ac:dyDescent="0.35">
      <c r="A45" s="1" t="s">
        <v>303</v>
      </c>
      <c r="B45" s="47" t="s">
        <v>213</v>
      </c>
      <c r="C45" s="47" t="s">
        <v>228</v>
      </c>
      <c r="D45" s="47" t="s">
        <v>304</v>
      </c>
      <c r="E45" s="47" t="s">
        <v>44</v>
      </c>
      <c r="F45" s="48">
        <v>-54</v>
      </c>
      <c r="G45" s="48"/>
      <c r="H45" s="47" t="s">
        <v>45</v>
      </c>
      <c r="I45" s="47" t="s">
        <v>46</v>
      </c>
      <c r="J45" s="2" t="s">
        <v>47</v>
      </c>
    </row>
    <row r="46" spans="1:10" x14ac:dyDescent="0.35">
      <c r="A46" s="1" t="s">
        <v>293</v>
      </c>
      <c r="B46" s="47" t="s">
        <v>213</v>
      </c>
      <c r="C46" s="47" t="s">
        <v>228</v>
      </c>
      <c r="D46" s="47" t="s">
        <v>290</v>
      </c>
      <c r="E46" s="47" t="s">
        <v>44</v>
      </c>
      <c r="F46" s="48">
        <v>-43.63</v>
      </c>
      <c r="G46" s="48"/>
      <c r="H46" s="47" t="s">
        <v>50</v>
      </c>
      <c r="I46" s="47" t="s">
        <v>15</v>
      </c>
      <c r="J46" s="2" t="s">
        <v>47</v>
      </c>
    </row>
    <row r="47" spans="1:10" x14ac:dyDescent="0.35">
      <c r="A47" s="1" t="s">
        <v>271</v>
      </c>
      <c r="B47" s="47" t="s">
        <v>213</v>
      </c>
      <c r="C47" s="47" t="s">
        <v>228</v>
      </c>
      <c r="D47" s="47" t="s">
        <v>63</v>
      </c>
      <c r="E47" s="47" t="s">
        <v>44</v>
      </c>
      <c r="F47" s="48">
        <v>-29.07</v>
      </c>
      <c r="G47" s="48"/>
      <c r="H47" s="47" t="s">
        <v>50</v>
      </c>
      <c r="I47" s="47" t="s">
        <v>15</v>
      </c>
      <c r="J47" s="2" t="s">
        <v>47</v>
      </c>
    </row>
    <row r="48" spans="1:10" x14ac:dyDescent="0.35">
      <c r="A48" s="1" t="s">
        <v>246</v>
      </c>
      <c r="B48" s="47" t="s">
        <v>213</v>
      </c>
      <c r="C48" s="47" t="s">
        <v>228</v>
      </c>
      <c r="D48" s="47" t="s">
        <v>105</v>
      </c>
      <c r="E48" s="47" t="s">
        <v>44</v>
      </c>
      <c r="F48" s="48">
        <v>-13.2</v>
      </c>
      <c r="G48" s="48"/>
      <c r="H48" s="47" t="s">
        <v>90</v>
      </c>
      <c r="I48" s="47" t="s">
        <v>106</v>
      </c>
      <c r="J48" s="2" t="s">
        <v>47</v>
      </c>
    </row>
    <row r="49" spans="1:10" x14ac:dyDescent="0.35">
      <c r="A49" s="1" t="s">
        <v>212</v>
      </c>
      <c r="B49" s="47" t="s">
        <v>213</v>
      </c>
      <c r="C49" s="47" t="s">
        <v>213</v>
      </c>
      <c r="D49" s="47" t="s">
        <v>211</v>
      </c>
      <c r="E49" s="47" t="s">
        <v>44</v>
      </c>
      <c r="F49" s="48">
        <v>1251.82</v>
      </c>
      <c r="G49" s="48"/>
      <c r="H49" s="47" t="s">
        <v>58</v>
      </c>
      <c r="I49" s="47" t="s">
        <v>59</v>
      </c>
      <c r="J49" s="2" t="s">
        <v>60</v>
      </c>
    </row>
    <row r="50" spans="1:10" x14ac:dyDescent="0.35">
      <c r="A50" s="1" t="s">
        <v>237</v>
      </c>
      <c r="B50" s="47" t="s">
        <v>228</v>
      </c>
      <c r="C50" s="47" t="s">
        <v>229</v>
      </c>
      <c r="D50" s="47" t="s">
        <v>238</v>
      </c>
      <c r="E50" s="47" t="s">
        <v>44</v>
      </c>
      <c r="F50" s="48">
        <v>-6.5</v>
      </c>
      <c r="G50" s="48"/>
      <c r="H50" s="47" t="s">
        <v>90</v>
      </c>
      <c r="I50" s="47" t="s">
        <v>78</v>
      </c>
      <c r="J50" s="2" t="s">
        <v>47</v>
      </c>
    </row>
    <row r="51" spans="1:10" x14ac:dyDescent="0.35">
      <c r="A51" s="1" t="s">
        <v>227</v>
      </c>
      <c r="B51" s="47" t="s">
        <v>228</v>
      </c>
      <c r="C51" s="47" t="s">
        <v>229</v>
      </c>
      <c r="D51" s="47" t="s">
        <v>230</v>
      </c>
      <c r="E51" s="47" t="s">
        <v>44</v>
      </c>
      <c r="F51" s="48">
        <v>-3.5</v>
      </c>
      <c r="G51" s="48"/>
      <c r="H51" s="47" t="s">
        <v>73</v>
      </c>
      <c r="I51" s="47" t="s">
        <v>74</v>
      </c>
      <c r="J51" s="2" t="s">
        <v>47</v>
      </c>
    </row>
    <row r="52" spans="1:10" x14ac:dyDescent="0.35">
      <c r="A52" s="1" t="s">
        <v>231</v>
      </c>
      <c r="B52" s="47" t="s">
        <v>228</v>
      </c>
      <c r="C52" s="47" t="s">
        <v>229</v>
      </c>
      <c r="D52" s="47" t="s">
        <v>232</v>
      </c>
      <c r="E52" s="47" t="s">
        <v>44</v>
      </c>
      <c r="F52" s="48">
        <v>-3.5</v>
      </c>
      <c r="G52" s="48"/>
      <c r="H52" s="47" t="s">
        <v>73</v>
      </c>
      <c r="I52" s="47" t="s">
        <v>74</v>
      </c>
      <c r="J52" s="2" t="s">
        <v>47</v>
      </c>
    </row>
    <row r="53" spans="1:10" x14ac:dyDescent="0.35">
      <c r="A53" s="1" t="s">
        <v>262</v>
      </c>
      <c r="B53" s="47" t="s">
        <v>263</v>
      </c>
      <c r="C53" s="47" t="s">
        <v>215</v>
      </c>
      <c r="D53" s="47" t="s">
        <v>63</v>
      </c>
      <c r="E53" s="47" t="s">
        <v>44</v>
      </c>
      <c r="F53" s="48">
        <v>-21.01</v>
      </c>
      <c r="G53" s="48"/>
      <c r="H53" s="7" t="s">
        <v>50</v>
      </c>
      <c r="I53" s="7" t="s">
        <v>15</v>
      </c>
      <c r="J53" s="2" t="s">
        <v>47</v>
      </c>
    </row>
    <row r="54" spans="1:10" x14ac:dyDescent="0.35">
      <c r="A54" s="1" t="s">
        <v>319</v>
      </c>
      <c r="B54" s="47" t="s">
        <v>215</v>
      </c>
      <c r="C54" s="47" t="s">
        <v>215</v>
      </c>
      <c r="D54" s="47" t="s">
        <v>320</v>
      </c>
      <c r="E54" s="47" t="s">
        <v>44</v>
      </c>
      <c r="F54" s="48">
        <v>-881.2</v>
      </c>
      <c r="G54" s="48"/>
      <c r="H54" s="17" t="s">
        <v>1698</v>
      </c>
      <c r="I54" s="17" t="s">
        <v>205</v>
      </c>
      <c r="J54" s="2" t="s">
        <v>79</v>
      </c>
    </row>
    <row r="55" spans="1:10" x14ac:dyDescent="0.35">
      <c r="A55" s="1" t="s">
        <v>260</v>
      </c>
      <c r="B55" s="47" t="s">
        <v>215</v>
      </c>
      <c r="C55" s="47" t="s">
        <v>261</v>
      </c>
      <c r="D55" s="47" t="s">
        <v>63</v>
      </c>
      <c r="E55" s="47" t="s">
        <v>44</v>
      </c>
      <c r="F55" s="48">
        <v>-20.79</v>
      </c>
      <c r="G55" s="48"/>
      <c r="H55" s="47" t="s">
        <v>50</v>
      </c>
      <c r="I55" s="47" t="s">
        <v>15</v>
      </c>
      <c r="J55" s="2" t="s">
        <v>47</v>
      </c>
    </row>
    <row r="56" spans="1:10" x14ac:dyDescent="0.35">
      <c r="A56" s="1" t="s">
        <v>221</v>
      </c>
      <c r="B56" s="47" t="s">
        <v>215</v>
      </c>
      <c r="C56" s="47" t="s">
        <v>215</v>
      </c>
      <c r="D56" s="47" t="s">
        <v>222</v>
      </c>
      <c r="E56" s="47" t="s">
        <v>44</v>
      </c>
      <c r="F56" s="48">
        <v>458.22</v>
      </c>
      <c r="G56" s="48"/>
      <c r="H56" s="47" t="s">
        <v>101</v>
      </c>
      <c r="I56" s="47" t="s">
        <v>59</v>
      </c>
      <c r="J56" s="2" t="s">
        <v>60</v>
      </c>
    </row>
    <row r="57" spans="1:10" x14ac:dyDescent="0.35">
      <c r="A57" s="6" t="s">
        <v>214</v>
      </c>
      <c r="B57" s="7" t="s">
        <v>215</v>
      </c>
      <c r="C57" s="7" t="s">
        <v>215</v>
      </c>
      <c r="D57" s="7" t="s">
        <v>57</v>
      </c>
      <c r="E57" s="7" t="s">
        <v>44</v>
      </c>
      <c r="F57" s="10">
        <v>1203.51</v>
      </c>
      <c r="G57" s="10"/>
      <c r="H57" s="7" t="s">
        <v>58</v>
      </c>
      <c r="I57" s="7" t="s">
        <v>59</v>
      </c>
      <c r="J57" s="8" t="s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FA1A-CC70-4B49-A97B-56C7C8BCE830}">
  <dimension ref="A2:B36"/>
  <sheetViews>
    <sheetView workbookViewId="0">
      <selection activeCell="A21" sqref="A21"/>
    </sheetView>
  </sheetViews>
  <sheetFormatPr defaultRowHeight="12.75" x14ac:dyDescent="0.35"/>
  <cols>
    <col min="1" max="1" width="30.33203125" bestFit="1" customWidth="1"/>
    <col min="2" max="2" width="14.6640625" bestFit="1" customWidth="1"/>
  </cols>
  <sheetData>
    <row r="2" spans="1:2" x14ac:dyDescent="0.35">
      <c r="A2" s="13" t="s">
        <v>37</v>
      </c>
      <c r="B2" t="s">
        <v>206</v>
      </c>
    </row>
    <row r="4" spans="1:2" x14ac:dyDescent="0.35">
      <c r="A4" s="13" t="s">
        <v>326</v>
      </c>
      <c r="B4" t="s">
        <v>207</v>
      </c>
    </row>
    <row r="5" spans="1:2" x14ac:dyDescent="0.35">
      <c r="A5" s="14" t="s">
        <v>176</v>
      </c>
      <c r="B5" s="12">
        <v>550</v>
      </c>
    </row>
    <row r="6" spans="1:2" x14ac:dyDescent="0.35">
      <c r="A6" s="28" t="s">
        <v>59</v>
      </c>
      <c r="B6" s="12">
        <v>550</v>
      </c>
    </row>
    <row r="7" spans="1:2" x14ac:dyDescent="0.35">
      <c r="A7" s="14" t="s">
        <v>45</v>
      </c>
      <c r="B7" s="12">
        <v>-292.58999999999997</v>
      </c>
    </row>
    <row r="8" spans="1:2" x14ac:dyDescent="0.35">
      <c r="A8" s="28" t="s">
        <v>46</v>
      </c>
      <c r="B8" s="12">
        <v>-292.58999999999997</v>
      </c>
    </row>
    <row r="9" spans="1:2" x14ac:dyDescent="0.35">
      <c r="A9" s="14" t="s">
        <v>50</v>
      </c>
      <c r="B9" s="12">
        <v>-1085.03</v>
      </c>
    </row>
    <row r="10" spans="1:2" x14ac:dyDescent="0.35">
      <c r="A10" s="28" t="s">
        <v>165</v>
      </c>
      <c r="B10" s="12">
        <v>-18.98</v>
      </c>
    </row>
    <row r="11" spans="1:2" x14ac:dyDescent="0.35">
      <c r="A11" s="28" t="s">
        <v>15</v>
      </c>
      <c r="B11" s="12">
        <v>-744.87</v>
      </c>
    </row>
    <row r="12" spans="1:2" x14ac:dyDescent="0.35">
      <c r="A12" s="28" t="s">
        <v>195</v>
      </c>
      <c r="B12" s="12">
        <v>-44.17</v>
      </c>
    </row>
    <row r="13" spans="1:2" x14ac:dyDescent="0.35">
      <c r="A13" s="28" t="s">
        <v>21</v>
      </c>
      <c r="B13" s="12">
        <v>-47.78</v>
      </c>
    </row>
    <row r="14" spans="1:2" x14ac:dyDescent="0.35">
      <c r="A14" s="28" t="s">
        <v>51</v>
      </c>
      <c r="B14" s="12">
        <v>-84.13</v>
      </c>
    </row>
    <row r="15" spans="1:2" x14ac:dyDescent="0.35">
      <c r="A15" s="28" t="s">
        <v>19</v>
      </c>
      <c r="B15" s="12">
        <v>-145.1</v>
      </c>
    </row>
    <row r="16" spans="1:2" x14ac:dyDescent="0.35">
      <c r="A16" s="14" t="s">
        <v>101</v>
      </c>
      <c r="B16" s="12">
        <v>458.22</v>
      </c>
    </row>
    <row r="17" spans="1:2" x14ac:dyDescent="0.35">
      <c r="A17" s="28" t="s">
        <v>59</v>
      </c>
      <c r="B17" s="12">
        <v>458.22</v>
      </c>
    </row>
    <row r="18" spans="1:2" x14ac:dyDescent="0.35">
      <c r="A18" s="14" t="s">
        <v>58</v>
      </c>
      <c r="B18" s="12">
        <v>6573.17</v>
      </c>
    </row>
    <row r="19" spans="1:2" x14ac:dyDescent="0.35">
      <c r="A19" s="28" t="s">
        <v>59</v>
      </c>
      <c r="B19" s="12">
        <v>6573.17</v>
      </c>
    </row>
    <row r="20" spans="1:2" x14ac:dyDescent="0.35">
      <c r="A20" s="14" t="s">
        <v>251</v>
      </c>
      <c r="B20" s="12">
        <v>-100.85</v>
      </c>
    </row>
    <row r="21" spans="1:2" x14ac:dyDescent="0.35">
      <c r="A21" s="28" t="s">
        <v>252</v>
      </c>
      <c r="B21" s="12">
        <v>-15.5</v>
      </c>
    </row>
    <row r="22" spans="1:2" x14ac:dyDescent="0.35">
      <c r="A22" s="28" t="s">
        <v>288</v>
      </c>
      <c r="B22" s="12">
        <v>-41.1</v>
      </c>
    </row>
    <row r="23" spans="1:2" x14ac:dyDescent="0.35">
      <c r="A23" s="28" t="s">
        <v>297</v>
      </c>
      <c r="B23" s="12">
        <v>-44.25</v>
      </c>
    </row>
    <row r="24" spans="1:2" x14ac:dyDescent="0.35">
      <c r="A24" s="14" t="s">
        <v>90</v>
      </c>
      <c r="B24" s="12">
        <v>-145.43</v>
      </c>
    </row>
    <row r="25" spans="1:2" x14ac:dyDescent="0.35">
      <c r="A25" s="28" t="s">
        <v>106</v>
      </c>
      <c r="B25" s="12">
        <v>-44.8</v>
      </c>
    </row>
    <row r="26" spans="1:2" x14ac:dyDescent="0.35">
      <c r="A26" s="28" t="s">
        <v>78</v>
      </c>
      <c r="B26" s="12">
        <v>-100.63000000000001</v>
      </c>
    </row>
    <row r="27" spans="1:2" x14ac:dyDescent="0.35">
      <c r="A27" s="14" t="s">
        <v>77</v>
      </c>
      <c r="B27" s="12">
        <v>-367.5</v>
      </c>
    </row>
    <row r="28" spans="1:2" x14ac:dyDescent="0.35">
      <c r="A28" s="28" t="s">
        <v>78</v>
      </c>
      <c r="B28" s="12">
        <v>-367.5</v>
      </c>
    </row>
    <row r="29" spans="1:2" x14ac:dyDescent="0.35">
      <c r="A29" s="14" t="s">
        <v>73</v>
      </c>
      <c r="B29" s="12">
        <v>-110.85000000000001</v>
      </c>
    </row>
    <row r="30" spans="1:2" x14ac:dyDescent="0.35">
      <c r="A30" s="28" t="s">
        <v>309</v>
      </c>
      <c r="B30" s="12">
        <v>-68.95</v>
      </c>
    </row>
    <row r="31" spans="1:2" x14ac:dyDescent="0.35">
      <c r="A31" s="28" t="s">
        <v>112</v>
      </c>
      <c r="B31" s="12">
        <v>-1.4</v>
      </c>
    </row>
    <row r="32" spans="1:2" x14ac:dyDescent="0.35">
      <c r="A32" s="28" t="s">
        <v>74</v>
      </c>
      <c r="B32" s="12">
        <v>-7</v>
      </c>
    </row>
    <row r="33" spans="1:2" x14ac:dyDescent="0.35">
      <c r="A33" s="28" t="s">
        <v>280</v>
      </c>
      <c r="B33" s="12">
        <v>-33.5</v>
      </c>
    </row>
    <row r="34" spans="1:2" x14ac:dyDescent="0.35">
      <c r="A34" s="14" t="s">
        <v>1698</v>
      </c>
      <c r="B34" s="12">
        <v>-881.2</v>
      </c>
    </row>
    <row r="35" spans="1:2" x14ac:dyDescent="0.35">
      <c r="A35" s="28" t="s">
        <v>205</v>
      </c>
      <c r="B35" s="12">
        <v>-881.2</v>
      </c>
    </row>
    <row r="36" spans="1:2" x14ac:dyDescent="0.35">
      <c r="A36" s="14" t="s">
        <v>208</v>
      </c>
      <c r="B36" s="12">
        <v>4597.9400000000005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91A9-C54A-4BC4-A69A-FC82D6832157}">
  <dimension ref="A1:J38"/>
  <sheetViews>
    <sheetView workbookViewId="0">
      <selection activeCell="H20" sqref="H20"/>
    </sheetView>
  </sheetViews>
  <sheetFormatPr defaultRowHeight="12.75" x14ac:dyDescent="0.35"/>
  <cols>
    <col min="1" max="1" width="20.86328125" customWidth="1"/>
    <col min="2" max="2" width="17.3984375" customWidth="1"/>
    <col min="3" max="3" width="12.86328125" customWidth="1"/>
    <col min="4" max="4" width="35.265625" customWidth="1"/>
    <col min="6" max="7" width="9.59765625" customWidth="1"/>
    <col min="8" max="8" width="11.3984375" customWidth="1"/>
    <col min="9" max="9" width="15.73046875" customWidth="1"/>
    <col min="10" max="10" width="26" bestFit="1" customWidth="1"/>
  </cols>
  <sheetData>
    <row r="1" spans="1:10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8" t="s">
        <v>37</v>
      </c>
      <c r="H1" s="4" t="s">
        <v>38</v>
      </c>
      <c r="I1" s="4" t="s">
        <v>39</v>
      </c>
      <c r="J1" s="5" t="s">
        <v>40</v>
      </c>
    </row>
    <row r="2" spans="1:10" x14ac:dyDescent="0.35">
      <c r="A2" s="1" t="s">
        <v>404</v>
      </c>
      <c r="B2" s="47" t="s">
        <v>261</v>
      </c>
      <c r="C2" s="47" t="s">
        <v>335</v>
      </c>
      <c r="D2" s="47" t="s">
        <v>405</v>
      </c>
      <c r="E2" s="47" t="s">
        <v>44</v>
      </c>
      <c r="F2" s="48">
        <v>-0.84</v>
      </c>
      <c r="G2" s="48"/>
      <c r="H2" s="47" t="s">
        <v>50</v>
      </c>
      <c r="I2" s="47" t="s">
        <v>15</v>
      </c>
      <c r="J2" s="2" t="s">
        <v>47</v>
      </c>
    </row>
    <row r="3" spans="1:10" x14ac:dyDescent="0.35">
      <c r="A3" s="1" t="s">
        <v>385</v>
      </c>
      <c r="B3" s="47" t="s">
        <v>261</v>
      </c>
      <c r="C3" s="47" t="s">
        <v>335</v>
      </c>
      <c r="D3" s="47" t="s">
        <v>386</v>
      </c>
      <c r="E3" s="47" t="s">
        <v>44</v>
      </c>
      <c r="F3" s="48">
        <v>-16.920000000000002</v>
      </c>
      <c r="G3" s="48"/>
      <c r="H3" s="47" t="s">
        <v>50</v>
      </c>
      <c r="I3" s="47" t="s">
        <v>15</v>
      </c>
      <c r="J3" s="2" t="s">
        <v>47</v>
      </c>
    </row>
    <row r="4" spans="1:10" x14ac:dyDescent="0.35">
      <c r="A4" s="1" t="s">
        <v>374</v>
      </c>
      <c r="B4" s="47" t="s">
        <v>261</v>
      </c>
      <c r="C4" s="47" t="s">
        <v>335</v>
      </c>
      <c r="D4" s="47" t="s">
        <v>63</v>
      </c>
      <c r="E4" s="47" t="s">
        <v>44</v>
      </c>
      <c r="F4" s="48">
        <v>-30.94</v>
      </c>
      <c r="G4" s="48"/>
      <c r="H4" s="7" t="s">
        <v>50</v>
      </c>
      <c r="I4" s="7" t="s">
        <v>15</v>
      </c>
      <c r="J4" s="2" t="s">
        <v>47</v>
      </c>
    </row>
    <row r="5" spans="1:10" x14ac:dyDescent="0.35">
      <c r="A5" s="1" t="s">
        <v>327</v>
      </c>
      <c r="B5" s="47" t="s">
        <v>261</v>
      </c>
      <c r="C5" s="47" t="s">
        <v>261</v>
      </c>
      <c r="D5" s="47" t="s">
        <v>96</v>
      </c>
      <c r="E5" s="47" t="s">
        <v>44</v>
      </c>
      <c r="F5" s="48">
        <v>-3000</v>
      </c>
      <c r="G5" s="48" t="s">
        <v>97</v>
      </c>
      <c r="H5" s="47" t="s">
        <v>323</v>
      </c>
      <c r="I5" s="47" t="s">
        <v>59</v>
      </c>
      <c r="J5" s="2" t="s">
        <v>60</v>
      </c>
    </row>
    <row r="6" spans="1:10" x14ac:dyDescent="0.35">
      <c r="A6" s="1" t="s">
        <v>392</v>
      </c>
      <c r="B6" s="47" t="s">
        <v>376</v>
      </c>
      <c r="C6" s="47" t="s">
        <v>215</v>
      </c>
      <c r="D6" s="47" t="s">
        <v>393</v>
      </c>
      <c r="E6" s="47" t="s">
        <v>44</v>
      </c>
      <c r="F6" s="48">
        <v>-8.6</v>
      </c>
      <c r="G6" s="48"/>
      <c r="H6" s="47" t="s">
        <v>136</v>
      </c>
      <c r="I6" s="47" t="s">
        <v>394</v>
      </c>
      <c r="J6" s="2" t="s">
        <v>395</v>
      </c>
    </row>
    <row r="7" spans="1:10" x14ac:dyDescent="0.35">
      <c r="A7" s="1" t="s">
        <v>375</v>
      </c>
      <c r="B7" s="47" t="s">
        <v>376</v>
      </c>
      <c r="C7" s="47" t="s">
        <v>335</v>
      </c>
      <c r="D7" s="47" t="s">
        <v>173</v>
      </c>
      <c r="E7" s="47" t="s">
        <v>44</v>
      </c>
      <c r="F7" s="48">
        <v>-28.05</v>
      </c>
      <c r="G7" s="48"/>
      <c r="H7" s="47" t="s">
        <v>50</v>
      </c>
      <c r="I7" s="47" t="s">
        <v>15</v>
      </c>
      <c r="J7" s="2" t="s">
        <v>47</v>
      </c>
    </row>
    <row r="8" spans="1:10" x14ac:dyDescent="0.35">
      <c r="A8" s="1" t="s">
        <v>384</v>
      </c>
      <c r="B8" s="47" t="s">
        <v>335</v>
      </c>
      <c r="C8" s="47" t="s">
        <v>351</v>
      </c>
      <c r="D8" s="47" t="s">
        <v>290</v>
      </c>
      <c r="E8" s="47" t="s">
        <v>44</v>
      </c>
      <c r="F8" s="48">
        <v>-17.72</v>
      </c>
      <c r="G8" s="48"/>
      <c r="H8" s="47" t="s">
        <v>50</v>
      </c>
      <c r="I8" s="47" t="s">
        <v>15</v>
      </c>
      <c r="J8" s="2" t="s">
        <v>47</v>
      </c>
    </row>
    <row r="9" spans="1:10" x14ac:dyDescent="0.35">
      <c r="A9" s="1" t="s">
        <v>368</v>
      </c>
      <c r="B9" s="47" t="s">
        <v>335</v>
      </c>
      <c r="C9" s="47" t="s">
        <v>351</v>
      </c>
      <c r="D9" s="47" t="s">
        <v>369</v>
      </c>
      <c r="E9" s="47" t="s">
        <v>44</v>
      </c>
      <c r="F9" s="48">
        <v>-42</v>
      </c>
      <c r="G9" s="48"/>
      <c r="H9" s="47" t="s">
        <v>90</v>
      </c>
      <c r="I9" s="47" t="s">
        <v>106</v>
      </c>
      <c r="J9" s="2" t="s">
        <v>47</v>
      </c>
    </row>
    <row r="10" spans="1:10" x14ac:dyDescent="0.35">
      <c r="A10" s="1" t="s">
        <v>359</v>
      </c>
      <c r="B10" s="47" t="s">
        <v>335</v>
      </c>
      <c r="C10" s="47" t="s">
        <v>351</v>
      </c>
      <c r="D10" s="47" t="s">
        <v>360</v>
      </c>
      <c r="E10" s="47" t="s">
        <v>44</v>
      </c>
      <c r="F10" s="48">
        <v>-56</v>
      </c>
      <c r="G10" s="48"/>
      <c r="H10" s="47" t="s">
        <v>45</v>
      </c>
      <c r="I10" s="47" t="s">
        <v>361</v>
      </c>
      <c r="J10" s="2" t="s">
        <v>47</v>
      </c>
    </row>
    <row r="11" spans="1:10" x14ac:dyDescent="0.35">
      <c r="A11" s="1" t="s">
        <v>334</v>
      </c>
      <c r="B11" s="47" t="s">
        <v>335</v>
      </c>
      <c r="C11" s="47" t="s">
        <v>335</v>
      </c>
      <c r="D11" s="47" t="s">
        <v>199</v>
      </c>
      <c r="E11" s="47" t="s">
        <v>44</v>
      </c>
      <c r="F11" s="48">
        <v>-278.24</v>
      </c>
      <c r="G11" s="48" t="s">
        <v>97</v>
      </c>
      <c r="H11" s="47" t="s">
        <v>77</v>
      </c>
      <c r="I11" s="47" t="s">
        <v>200</v>
      </c>
      <c r="J11" s="2" t="s">
        <v>79</v>
      </c>
    </row>
    <row r="12" spans="1:10" x14ac:dyDescent="0.35">
      <c r="A12" s="1" t="s">
        <v>406</v>
      </c>
      <c r="B12" s="47" t="s">
        <v>337</v>
      </c>
      <c r="C12" s="47" t="s">
        <v>337</v>
      </c>
      <c r="D12" s="47" t="s">
        <v>407</v>
      </c>
      <c r="E12" s="47" t="s">
        <v>44</v>
      </c>
      <c r="F12" s="48">
        <v>550</v>
      </c>
      <c r="G12" s="48"/>
      <c r="H12" s="47" t="s">
        <v>176</v>
      </c>
      <c r="I12" s="47" t="s">
        <v>59</v>
      </c>
      <c r="J12" s="2" t="s">
        <v>60</v>
      </c>
    </row>
    <row r="13" spans="1:10" x14ac:dyDescent="0.35">
      <c r="A13" s="1" t="s">
        <v>398</v>
      </c>
      <c r="B13" s="47" t="s">
        <v>337</v>
      </c>
      <c r="C13" s="47" t="s">
        <v>338</v>
      </c>
      <c r="D13" s="47" t="s">
        <v>397</v>
      </c>
      <c r="E13" s="47" t="s">
        <v>44</v>
      </c>
      <c r="F13" s="48">
        <v>-8</v>
      </c>
      <c r="G13" s="48"/>
      <c r="H13" s="47" t="s">
        <v>90</v>
      </c>
      <c r="I13" s="47" t="s">
        <v>78</v>
      </c>
      <c r="J13" s="2" t="s">
        <v>47</v>
      </c>
    </row>
    <row r="14" spans="1:10" x14ac:dyDescent="0.35">
      <c r="A14" s="1" t="s">
        <v>377</v>
      </c>
      <c r="B14" s="47" t="s">
        <v>337</v>
      </c>
      <c r="C14" s="47" t="s">
        <v>338</v>
      </c>
      <c r="D14" s="47" t="s">
        <v>378</v>
      </c>
      <c r="E14" s="47" t="s">
        <v>44</v>
      </c>
      <c r="F14" s="48">
        <v>-26.53</v>
      </c>
      <c r="G14" s="48"/>
      <c r="H14" s="47" t="s">
        <v>50</v>
      </c>
      <c r="I14" s="47" t="s">
        <v>15</v>
      </c>
      <c r="J14" s="2" t="s">
        <v>47</v>
      </c>
    </row>
    <row r="15" spans="1:10" x14ac:dyDescent="0.35">
      <c r="A15" s="1" t="s">
        <v>336</v>
      </c>
      <c r="B15" s="47" t="s">
        <v>337</v>
      </c>
      <c r="C15" s="47" t="s">
        <v>338</v>
      </c>
      <c r="D15" s="47" t="s">
        <v>339</v>
      </c>
      <c r="E15" s="47" t="s">
        <v>44</v>
      </c>
      <c r="F15" s="48">
        <v>-200</v>
      </c>
      <c r="G15" s="48"/>
      <c r="H15" s="47" t="s">
        <v>98</v>
      </c>
      <c r="I15" s="47" t="s">
        <v>340</v>
      </c>
      <c r="J15" s="2" t="s">
        <v>341</v>
      </c>
    </row>
    <row r="16" spans="1:10" x14ac:dyDescent="0.35">
      <c r="A16" s="1" t="s">
        <v>400</v>
      </c>
      <c r="B16" s="47" t="s">
        <v>351</v>
      </c>
      <c r="C16" s="47" t="s">
        <v>215</v>
      </c>
      <c r="D16" s="47" t="s">
        <v>401</v>
      </c>
      <c r="E16" s="47" t="s">
        <v>44</v>
      </c>
      <c r="F16" s="48">
        <v>-4.5</v>
      </c>
      <c r="G16" s="48"/>
      <c r="H16" s="47" t="s">
        <v>136</v>
      </c>
      <c r="I16" s="47" t="s">
        <v>402</v>
      </c>
      <c r="J16" s="2" t="s">
        <v>403</v>
      </c>
    </row>
    <row r="17" spans="1:10" x14ac:dyDescent="0.35">
      <c r="A17" s="1" t="s">
        <v>366</v>
      </c>
      <c r="B17" s="47" t="s">
        <v>351</v>
      </c>
      <c r="C17" s="47" t="s">
        <v>343</v>
      </c>
      <c r="D17" s="47" t="s">
        <v>367</v>
      </c>
      <c r="E17" s="47" t="s">
        <v>44</v>
      </c>
      <c r="F17" s="48">
        <v>-44.58</v>
      </c>
      <c r="G17" s="48"/>
      <c r="H17" s="47" t="s">
        <v>50</v>
      </c>
      <c r="I17" s="47" t="s">
        <v>15</v>
      </c>
      <c r="J17" s="2" t="s">
        <v>47</v>
      </c>
    </row>
    <row r="18" spans="1:10" x14ac:dyDescent="0.35">
      <c r="A18" s="1" t="s">
        <v>350</v>
      </c>
      <c r="B18" s="47" t="s">
        <v>351</v>
      </c>
      <c r="C18" s="47" t="s">
        <v>338</v>
      </c>
      <c r="D18" s="47" t="s">
        <v>197</v>
      </c>
      <c r="E18" s="47" t="s">
        <v>44</v>
      </c>
      <c r="F18" s="48">
        <v>-62.25</v>
      </c>
      <c r="G18" s="48"/>
      <c r="H18" s="47" t="s">
        <v>50</v>
      </c>
      <c r="I18" s="47" t="s">
        <v>19</v>
      </c>
      <c r="J18" s="2" t="s">
        <v>47</v>
      </c>
    </row>
    <row r="19" spans="1:10" x14ac:dyDescent="0.35">
      <c r="A19" s="1" t="s">
        <v>383</v>
      </c>
      <c r="B19" s="47" t="s">
        <v>338</v>
      </c>
      <c r="C19" s="47" t="s">
        <v>343</v>
      </c>
      <c r="D19" s="47" t="s">
        <v>257</v>
      </c>
      <c r="E19" s="47" t="s">
        <v>44</v>
      </c>
      <c r="F19" s="48">
        <v>-18.98</v>
      </c>
      <c r="G19" s="48"/>
      <c r="H19" s="47" t="s">
        <v>50</v>
      </c>
      <c r="I19" s="47" t="s">
        <v>165</v>
      </c>
      <c r="J19" s="2" t="s">
        <v>91</v>
      </c>
    </row>
    <row r="20" spans="1:10" x14ac:dyDescent="0.35">
      <c r="A20" s="1" t="s">
        <v>346</v>
      </c>
      <c r="B20" s="47" t="s">
        <v>338</v>
      </c>
      <c r="C20" s="47" t="s">
        <v>343</v>
      </c>
      <c r="D20" s="47" t="s">
        <v>347</v>
      </c>
      <c r="E20" s="47" t="s">
        <v>44</v>
      </c>
      <c r="F20" s="48">
        <v>-89</v>
      </c>
      <c r="G20" s="48"/>
      <c r="H20" s="47" t="s">
        <v>136</v>
      </c>
      <c r="I20" s="47" t="s">
        <v>78</v>
      </c>
      <c r="J20" s="2" t="s">
        <v>47</v>
      </c>
    </row>
    <row r="21" spans="1:10" x14ac:dyDescent="0.35">
      <c r="A21" s="1" t="s">
        <v>342</v>
      </c>
      <c r="B21" s="47" t="s">
        <v>343</v>
      </c>
      <c r="C21" s="47" t="s">
        <v>344</v>
      </c>
      <c r="D21" s="47" t="s">
        <v>345</v>
      </c>
      <c r="E21" s="47" t="s">
        <v>44</v>
      </c>
      <c r="F21" s="48">
        <v>-100</v>
      </c>
      <c r="G21" s="48"/>
      <c r="H21" s="47" t="s">
        <v>73</v>
      </c>
      <c r="I21" s="47" t="s">
        <v>78</v>
      </c>
      <c r="J21" s="2" t="s">
        <v>47</v>
      </c>
    </row>
    <row r="22" spans="1:10" x14ac:dyDescent="0.35">
      <c r="A22" s="1" t="s">
        <v>396</v>
      </c>
      <c r="B22" s="47" t="s">
        <v>372</v>
      </c>
      <c r="C22" s="47" t="s">
        <v>373</v>
      </c>
      <c r="D22" s="47" t="s">
        <v>397</v>
      </c>
      <c r="E22" s="47" t="s">
        <v>44</v>
      </c>
      <c r="F22" s="48">
        <v>-8</v>
      </c>
      <c r="G22" s="48"/>
      <c r="H22" s="47" t="s">
        <v>73</v>
      </c>
      <c r="I22" s="47" t="s">
        <v>78</v>
      </c>
      <c r="J22" s="2" t="s">
        <v>47</v>
      </c>
    </row>
    <row r="23" spans="1:10" x14ac:dyDescent="0.35">
      <c r="A23" s="1" t="s">
        <v>371</v>
      </c>
      <c r="B23" s="47" t="s">
        <v>372</v>
      </c>
      <c r="C23" s="47" t="s">
        <v>373</v>
      </c>
      <c r="D23" s="47" t="s">
        <v>287</v>
      </c>
      <c r="E23" s="47" t="s">
        <v>44</v>
      </c>
      <c r="F23" s="48">
        <v>-31.8</v>
      </c>
      <c r="G23" s="48"/>
      <c r="H23" s="47" t="s">
        <v>251</v>
      </c>
      <c r="I23" s="47" t="s">
        <v>288</v>
      </c>
      <c r="J23" s="2" t="s">
        <v>47</v>
      </c>
    </row>
    <row r="24" spans="1:10" x14ac:dyDescent="0.35">
      <c r="A24" s="1" t="s">
        <v>370</v>
      </c>
      <c r="B24" s="47" t="s">
        <v>344</v>
      </c>
      <c r="C24" s="47" t="s">
        <v>363</v>
      </c>
      <c r="D24" s="47" t="s">
        <v>63</v>
      </c>
      <c r="E24" s="47" t="s">
        <v>44</v>
      </c>
      <c r="F24" s="48">
        <v>-38.090000000000003</v>
      </c>
      <c r="G24" s="48"/>
      <c r="H24" s="47" t="s">
        <v>50</v>
      </c>
      <c r="I24" s="47" t="s">
        <v>15</v>
      </c>
      <c r="J24" s="2" t="s">
        <v>47</v>
      </c>
    </row>
    <row r="25" spans="1:10" x14ac:dyDescent="0.35">
      <c r="A25" s="1" t="s">
        <v>362</v>
      </c>
      <c r="B25" s="47" t="s">
        <v>363</v>
      </c>
      <c r="C25" s="47" t="s">
        <v>364</v>
      </c>
      <c r="D25" s="47" t="s">
        <v>130</v>
      </c>
      <c r="E25" s="47" t="s">
        <v>44</v>
      </c>
      <c r="F25" s="48">
        <v>-55.6</v>
      </c>
      <c r="G25" s="48"/>
      <c r="H25" s="47" t="s">
        <v>45</v>
      </c>
      <c r="I25" s="47" t="s">
        <v>46</v>
      </c>
      <c r="J25" s="2" t="s">
        <v>47</v>
      </c>
    </row>
    <row r="26" spans="1:10" x14ac:dyDescent="0.35">
      <c r="A26" s="1" t="s">
        <v>391</v>
      </c>
      <c r="B26" s="47" t="s">
        <v>357</v>
      </c>
      <c r="C26" s="47" t="s">
        <v>357</v>
      </c>
      <c r="D26" s="47" t="s">
        <v>76</v>
      </c>
      <c r="E26" s="47" t="s">
        <v>44</v>
      </c>
      <c r="F26" s="48">
        <v>-12</v>
      </c>
      <c r="G26" s="48"/>
      <c r="H26" s="47" t="s">
        <v>77</v>
      </c>
      <c r="I26" s="47" t="s">
        <v>78</v>
      </c>
      <c r="J26" s="2" t="s">
        <v>79</v>
      </c>
    </row>
    <row r="27" spans="1:10" x14ac:dyDescent="0.35">
      <c r="A27" s="1" t="s">
        <v>356</v>
      </c>
      <c r="B27" s="47" t="s">
        <v>357</v>
      </c>
      <c r="C27" s="47" t="s">
        <v>358</v>
      </c>
      <c r="D27" s="47" t="s">
        <v>173</v>
      </c>
      <c r="E27" s="47" t="s">
        <v>44</v>
      </c>
      <c r="F27" s="48">
        <v>-57.35</v>
      </c>
      <c r="G27" s="48"/>
      <c r="H27" s="47" t="s">
        <v>50</v>
      </c>
      <c r="I27" s="47" t="s">
        <v>15</v>
      </c>
      <c r="J27" s="2" t="s">
        <v>47</v>
      </c>
    </row>
    <row r="28" spans="1:10" x14ac:dyDescent="0.35">
      <c r="A28" s="1" t="s">
        <v>387</v>
      </c>
      <c r="B28" s="47" t="s">
        <v>388</v>
      </c>
      <c r="C28" s="47" t="s">
        <v>389</v>
      </c>
      <c r="D28" s="47" t="s">
        <v>390</v>
      </c>
      <c r="E28" s="47" t="s">
        <v>44</v>
      </c>
      <c r="F28" s="48">
        <v>-14.86</v>
      </c>
      <c r="G28" s="48"/>
      <c r="H28" s="47" t="s">
        <v>50</v>
      </c>
      <c r="I28" s="47" t="s">
        <v>15</v>
      </c>
      <c r="J28" s="2" t="s">
        <v>47</v>
      </c>
    </row>
    <row r="29" spans="1:10" x14ac:dyDescent="0.35">
      <c r="A29" s="1" t="s">
        <v>352</v>
      </c>
      <c r="B29" s="47" t="s">
        <v>353</v>
      </c>
      <c r="C29" s="47" t="s">
        <v>354</v>
      </c>
      <c r="D29" s="47" t="s">
        <v>355</v>
      </c>
      <c r="E29" s="47" t="s">
        <v>44</v>
      </c>
      <c r="F29" s="48">
        <v>-58</v>
      </c>
      <c r="G29" s="48"/>
      <c r="H29" s="47" t="s">
        <v>45</v>
      </c>
      <c r="I29" s="47" t="s">
        <v>46</v>
      </c>
      <c r="J29" s="2" t="s">
        <v>47</v>
      </c>
    </row>
    <row r="30" spans="1:10" x14ac:dyDescent="0.35">
      <c r="A30" s="1" t="s">
        <v>409</v>
      </c>
      <c r="B30" s="47" t="s">
        <v>329</v>
      </c>
      <c r="C30" s="47" t="s">
        <v>329</v>
      </c>
      <c r="D30" s="47" t="s">
        <v>211</v>
      </c>
      <c r="E30" s="47" t="s">
        <v>44</v>
      </c>
      <c r="F30" s="48">
        <v>2591.8000000000002</v>
      </c>
      <c r="G30" s="48"/>
      <c r="H30" s="47" t="s">
        <v>58</v>
      </c>
      <c r="I30" s="47" t="s">
        <v>59</v>
      </c>
      <c r="J30" s="2" t="s">
        <v>60</v>
      </c>
    </row>
    <row r="31" spans="1:10" x14ac:dyDescent="0.35">
      <c r="A31" s="1" t="s">
        <v>399</v>
      </c>
      <c r="B31" s="47" t="s">
        <v>329</v>
      </c>
      <c r="C31" s="47" t="s">
        <v>380</v>
      </c>
      <c r="D31" s="47" t="s">
        <v>63</v>
      </c>
      <c r="E31" s="47" t="s">
        <v>44</v>
      </c>
      <c r="F31" s="48">
        <v>-6.94</v>
      </c>
      <c r="G31" s="48"/>
      <c r="H31" s="47" t="s">
        <v>50</v>
      </c>
      <c r="I31" s="47" t="s">
        <v>15</v>
      </c>
      <c r="J31" s="2" t="s">
        <v>47</v>
      </c>
    </row>
    <row r="32" spans="1:10" x14ac:dyDescent="0.35">
      <c r="A32" s="1" t="s">
        <v>379</v>
      </c>
      <c r="B32" s="47" t="s">
        <v>329</v>
      </c>
      <c r="C32" s="47" t="s">
        <v>380</v>
      </c>
      <c r="D32" s="47" t="s">
        <v>367</v>
      </c>
      <c r="E32" s="47" t="s">
        <v>44</v>
      </c>
      <c r="F32" s="48">
        <v>-21.67</v>
      </c>
      <c r="G32" s="48"/>
      <c r="H32" s="47" t="s">
        <v>50</v>
      </c>
      <c r="I32" s="47" t="s">
        <v>15</v>
      </c>
      <c r="J32" s="2" t="s">
        <v>47</v>
      </c>
    </row>
    <row r="33" spans="1:10" x14ac:dyDescent="0.35">
      <c r="A33" s="1" t="s">
        <v>365</v>
      </c>
      <c r="B33" s="47" t="s">
        <v>329</v>
      </c>
      <c r="C33" s="47" t="s">
        <v>354</v>
      </c>
      <c r="D33" s="47" t="s">
        <v>197</v>
      </c>
      <c r="E33" s="47" t="s">
        <v>44</v>
      </c>
      <c r="F33" s="48">
        <v>-54.45</v>
      </c>
      <c r="G33" s="48"/>
      <c r="H33" s="47" t="s">
        <v>50</v>
      </c>
      <c r="I33" s="47" t="s">
        <v>19</v>
      </c>
      <c r="J33" s="2" t="s">
        <v>47</v>
      </c>
    </row>
    <row r="34" spans="1:10" x14ac:dyDescent="0.35">
      <c r="A34" s="1" t="s">
        <v>328</v>
      </c>
      <c r="B34" s="47" t="s">
        <v>329</v>
      </c>
      <c r="C34" s="47" t="s">
        <v>329</v>
      </c>
      <c r="D34" s="47" t="s">
        <v>330</v>
      </c>
      <c r="E34" s="47" t="s">
        <v>44</v>
      </c>
      <c r="F34" s="48">
        <v>-2500</v>
      </c>
      <c r="G34" s="48" t="s">
        <v>97</v>
      </c>
      <c r="H34" s="47" t="s">
        <v>323</v>
      </c>
      <c r="I34" s="47" t="s">
        <v>59</v>
      </c>
      <c r="J34" s="2" t="s">
        <v>60</v>
      </c>
    </row>
    <row r="35" spans="1:10" x14ac:dyDescent="0.35">
      <c r="A35" s="1" t="s">
        <v>381</v>
      </c>
      <c r="B35" s="47" t="s">
        <v>354</v>
      </c>
      <c r="C35" s="47" t="s">
        <v>382</v>
      </c>
      <c r="D35" s="47" t="s">
        <v>63</v>
      </c>
      <c r="E35" s="47" t="s">
        <v>44</v>
      </c>
      <c r="F35" s="48">
        <v>-20.89</v>
      </c>
      <c r="G35" s="48"/>
      <c r="H35" s="47" t="s">
        <v>50</v>
      </c>
      <c r="I35" s="47" t="s">
        <v>15</v>
      </c>
      <c r="J35" s="2" t="s">
        <v>47</v>
      </c>
    </row>
    <row r="36" spans="1:10" x14ac:dyDescent="0.35">
      <c r="A36" s="1" t="s">
        <v>408</v>
      </c>
      <c r="B36" s="47" t="s">
        <v>332</v>
      </c>
      <c r="C36" s="47" t="s">
        <v>332</v>
      </c>
      <c r="D36" s="47" t="s">
        <v>57</v>
      </c>
      <c r="E36" s="47" t="s">
        <v>44</v>
      </c>
      <c r="F36" s="48">
        <v>1478.95</v>
      </c>
      <c r="G36" s="48"/>
      <c r="H36" s="47" t="s">
        <v>58</v>
      </c>
      <c r="I36" s="47" t="s">
        <v>59</v>
      </c>
      <c r="J36" s="2" t="s">
        <v>60</v>
      </c>
    </row>
    <row r="37" spans="1:10" x14ac:dyDescent="0.35">
      <c r="A37" s="1" t="s">
        <v>348</v>
      </c>
      <c r="B37" s="47" t="s">
        <v>332</v>
      </c>
      <c r="C37" s="47" t="s">
        <v>349</v>
      </c>
      <c r="D37" s="47" t="s">
        <v>63</v>
      </c>
      <c r="E37" s="47" t="s">
        <v>44</v>
      </c>
      <c r="F37" s="48">
        <v>-79.180000000000007</v>
      </c>
      <c r="G37" s="48"/>
      <c r="H37" s="47" t="s">
        <v>50</v>
      </c>
      <c r="I37" s="47" t="s">
        <v>15</v>
      </c>
      <c r="J37" s="2" t="s">
        <v>47</v>
      </c>
    </row>
    <row r="38" spans="1:10" x14ac:dyDescent="0.35">
      <c r="A38" s="6" t="s">
        <v>331</v>
      </c>
      <c r="B38" s="7" t="s">
        <v>332</v>
      </c>
      <c r="C38" s="7" t="s">
        <v>332</v>
      </c>
      <c r="D38" s="7" t="s">
        <v>333</v>
      </c>
      <c r="E38" s="7" t="s">
        <v>44</v>
      </c>
      <c r="F38" s="10">
        <v>-881.2</v>
      </c>
      <c r="G38" s="10"/>
      <c r="H38" s="11" t="s">
        <v>1698</v>
      </c>
      <c r="I38" s="11" t="s">
        <v>205</v>
      </c>
      <c r="J38" s="8" t="s">
        <v>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0172-7F1F-4196-8E54-7A8FC46EC92B}">
  <dimension ref="A1:B32"/>
  <sheetViews>
    <sheetView workbookViewId="0">
      <selection activeCell="A22" sqref="A22"/>
    </sheetView>
  </sheetViews>
  <sheetFormatPr defaultRowHeight="12.75" x14ac:dyDescent="0.35"/>
  <cols>
    <col min="1" max="1" width="28.19921875" bestFit="1" customWidth="1"/>
    <col min="2" max="2" width="14.6640625" bestFit="1" customWidth="1"/>
  </cols>
  <sheetData>
    <row r="1" spans="1:2" x14ac:dyDescent="0.35">
      <c r="A1" s="13" t="s">
        <v>37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-200</v>
      </c>
    </row>
    <row r="7" spans="1:2" x14ac:dyDescent="0.35">
      <c r="A7" s="28" t="s">
        <v>340</v>
      </c>
      <c r="B7" s="12">
        <v>-200</v>
      </c>
    </row>
    <row r="8" spans="1:2" x14ac:dyDescent="0.35">
      <c r="A8" s="14" t="s">
        <v>45</v>
      </c>
      <c r="B8" s="12">
        <v>-169.6</v>
      </c>
    </row>
    <row r="9" spans="1:2" x14ac:dyDescent="0.35">
      <c r="A9" s="28" t="s">
        <v>361</v>
      </c>
      <c r="B9" s="12">
        <v>-56</v>
      </c>
    </row>
    <row r="10" spans="1:2" x14ac:dyDescent="0.35">
      <c r="A10" s="28" t="s">
        <v>46</v>
      </c>
      <c r="B10" s="12">
        <v>-113.6</v>
      </c>
    </row>
    <row r="11" spans="1:2" x14ac:dyDescent="0.35">
      <c r="A11" s="14" t="s">
        <v>50</v>
      </c>
      <c r="B11" s="12">
        <v>-540.24000000000012</v>
      </c>
    </row>
    <row r="12" spans="1:2" x14ac:dyDescent="0.35">
      <c r="A12" s="28" t="s">
        <v>165</v>
      </c>
      <c r="B12" s="12">
        <v>-18.98</v>
      </c>
    </row>
    <row r="13" spans="1:2" x14ac:dyDescent="0.35">
      <c r="A13" s="28" t="s">
        <v>15</v>
      </c>
      <c r="B13" s="12">
        <v>-404.56000000000006</v>
      </c>
    </row>
    <row r="14" spans="1:2" x14ac:dyDescent="0.35">
      <c r="A14" s="28" t="s">
        <v>19</v>
      </c>
      <c r="B14" s="12">
        <v>-116.7</v>
      </c>
    </row>
    <row r="15" spans="1:2" x14ac:dyDescent="0.35">
      <c r="A15" s="14" t="s">
        <v>58</v>
      </c>
      <c r="B15" s="12">
        <v>4070.75</v>
      </c>
    </row>
    <row r="16" spans="1:2" x14ac:dyDescent="0.35">
      <c r="A16" s="28" t="s">
        <v>59</v>
      </c>
      <c r="B16" s="12">
        <v>4070.75</v>
      </c>
    </row>
    <row r="17" spans="1:2" x14ac:dyDescent="0.35">
      <c r="A17" s="14" t="s">
        <v>251</v>
      </c>
      <c r="B17" s="12">
        <v>-31.8</v>
      </c>
    </row>
    <row r="18" spans="1:2" x14ac:dyDescent="0.35">
      <c r="A18" s="28" t="s">
        <v>288</v>
      </c>
      <c r="B18" s="12">
        <v>-31.8</v>
      </c>
    </row>
    <row r="19" spans="1:2" x14ac:dyDescent="0.35">
      <c r="A19" s="14" t="s">
        <v>90</v>
      </c>
      <c r="B19" s="12">
        <v>-50</v>
      </c>
    </row>
    <row r="20" spans="1:2" x14ac:dyDescent="0.35">
      <c r="A20" s="28" t="s">
        <v>106</v>
      </c>
      <c r="B20" s="12">
        <v>-42</v>
      </c>
    </row>
    <row r="21" spans="1:2" x14ac:dyDescent="0.35">
      <c r="A21" s="28" t="s">
        <v>78</v>
      </c>
      <c r="B21" s="12">
        <v>-8</v>
      </c>
    </row>
    <row r="22" spans="1:2" x14ac:dyDescent="0.35">
      <c r="A22" s="14" t="s">
        <v>136</v>
      </c>
      <c r="B22" s="12">
        <v>-102.1</v>
      </c>
    </row>
    <row r="23" spans="1:2" x14ac:dyDescent="0.35">
      <c r="A23" s="28" t="s">
        <v>394</v>
      </c>
      <c r="B23" s="12">
        <v>-8.6</v>
      </c>
    </row>
    <row r="24" spans="1:2" x14ac:dyDescent="0.35">
      <c r="A24" s="28" t="s">
        <v>402</v>
      </c>
      <c r="B24" s="12">
        <v>-4.5</v>
      </c>
    </row>
    <row r="25" spans="1:2" x14ac:dyDescent="0.35">
      <c r="A25" s="28" t="s">
        <v>78</v>
      </c>
      <c r="B25" s="12">
        <v>-89</v>
      </c>
    </row>
    <row r="26" spans="1:2" x14ac:dyDescent="0.35">
      <c r="A26" s="14" t="s">
        <v>77</v>
      </c>
      <c r="B26" s="12">
        <v>-12</v>
      </c>
    </row>
    <row r="27" spans="1:2" x14ac:dyDescent="0.35">
      <c r="A27" s="28" t="s">
        <v>78</v>
      </c>
      <c r="B27" s="12">
        <v>-12</v>
      </c>
    </row>
    <row r="28" spans="1:2" x14ac:dyDescent="0.35">
      <c r="A28" s="14" t="s">
        <v>73</v>
      </c>
      <c r="B28" s="12">
        <v>-108</v>
      </c>
    </row>
    <row r="29" spans="1:2" x14ac:dyDescent="0.35">
      <c r="A29" s="28" t="s">
        <v>78</v>
      </c>
      <c r="B29" s="12">
        <v>-108</v>
      </c>
    </row>
    <row r="30" spans="1:2" x14ac:dyDescent="0.35">
      <c r="A30" s="14" t="s">
        <v>1698</v>
      </c>
      <c r="B30" s="12">
        <v>-881.2</v>
      </c>
    </row>
    <row r="31" spans="1:2" x14ac:dyDescent="0.35">
      <c r="A31" s="28" t="s">
        <v>205</v>
      </c>
      <c r="B31" s="12">
        <v>-881.2</v>
      </c>
    </row>
    <row r="32" spans="1:2" x14ac:dyDescent="0.35">
      <c r="A32" s="14" t="s">
        <v>208</v>
      </c>
      <c r="B32" s="12">
        <v>2525.8099999999995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0E1F-6ABB-4FCE-925A-FAE344C4ADFB}">
  <dimension ref="A1:J41"/>
  <sheetViews>
    <sheetView workbookViewId="0">
      <selection activeCell="H35" sqref="H35"/>
    </sheetView>
  </sheetViews>
  <sheetFormatPr defaultRowHeight="12.75" x14ac:dyDescent="0.35"/>
  <cols>
    <col min="1" max="1" width="20.86328125" customWidth="1"/>
    <col min="2" max="2" width="17.3984375" customWidth="1"/>
    <col min="3" max="3" width="12.86328125" customWidth="1"/>
    <col min="4" max="4" width="169.1328125" bestFit="1" customWidth="1"/>
    <col min="6" max="6" width="9" customWidth="1"/>
    <col min="7" max="7" width="9.59765625" customWidth="1"/>
    <col min="8" max="8" width="16.46484375" bestFit="1" customWidth="1"/>
    <col min="9" max="9" width="15.73046875" customWidth="1"/>
    <col min="10" max="10" width="10.3984375" customWidth="1"/>
  </cols>
  <sheetData>
    <row r="1" spans="1:10" ht="13.15" x14ac:dyDescent="0.4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410</v>
      </c>
      <c r="G1" s="4" t="s">
        <v>36</v>
      </c>
      <c r="H1" s="4" t="s">
        <v>38</v>
      </c>
      <c r="I1" s="4" t="s">
        <v>39</v>
      </c>
      <c r="J1" s="5" t="s">
        <v>40</v>
      </c>
    </row>
    <row r="2" spans="1:10" x14ac:dyDescent="0.35">
      <c r="A2" s="47" t="s">
        <v>495</v>
      </c>
      <c r="B2" s="47" t="s">
        <v>491</v>
      </c>
      <c r="C2" s="47" t="s">
        <v>349</v>
      </c>
      <c r="D2" s="47" t="s">
        <v>496</v>
      </c>
      <c r="E2" s="47" t="s">
        <v>44</v>
      </c>
      <c r="F2" s="47"/>
      <c r="G2" s="48">
        <v>-30</v>
      </c>
      <c r="H2" s="47" t="s">
        <v>464</v>
      </c>
      <c r="I2" s="47" t="s">
        <v>78</v>
      </c>
      <c r="J2" s="2" t="s">
        <v>47</v>
      </c>
    </row>
    <row r="3" spans="1:10" x14ac:dyDescent="0.35">
      <c r="A3" s="47" t="s">
        <v>490</v>
      </c>
      <c r="B3" s="47" t="s">
        <v>491</v>
      </c>
      <c r="C3" s="47" t="s">
        <v>485</v>
      </c>
      <c r="D3" s="47" t="s">
        <v>492</v>
      </c>
      <c r="E3" s="47" t="s">
        <v>44</v>
      </c>
      <c r="F3" s="47"/>
      <c r="G3" s="48">
        <v>-11</v>
      </c>
      <c r="H3" s="47" t="s">
        <v>464</v>
      </c>
      <c r="I3" s="47" t="s">
        <v>78</v>
      </c>
      <c r="J3" s="2" t="s">
        <v>47</v>
      </c>
    </row>
    <row r="4" spans="1:10" x14ac:dyDescent="0.35">
      <c r="A4" s="47" t="s">
        <v>493</v>
      </c>
      <c r="B4" s="47" t="s">
        <v>491</v>
      </c>
      <c r="C4" s="47" t="s">
        <v>349</v>
      </c>
      <c r="D4" s="47" t="s">
        <v>494</v>
      </c>
      <c r="E4" s="47" t="s">
        <v>44</v>
      </c>
      <c r="F4" s="47"/>
      <c r="G4" s="48">
        <v>-10</v>
      </c>
      <c r="H4" s="7" t="s">
        <v>50</v>
      </c>
      <c r="I4" s="7" t="s">
        <v>15</v>
      </c>
      <c r="J4" s="2" t="s">
        <v>47</v>
      </c>
    </row>
    <row r="5" spans="1:10" x14ac:dyDescent="0.35">
      <c r="A5" s="47" t="s">
        <v>411</v>
      </c>
      <c r="B5" s="47" t="s">
        <v>412</v>
      </c>
      <c r="C5" s="47" t="s">
        <v>59</v>
      </c>
      <c r="D5" s="47" t="s">
        <v>413</v>
      </c>
      <c r="E5" s="47" t="s">
        <v>44</v>
      </c>
      <c r="F5" s="47"/>
      <c r="G5" s="48">
        <v>-43.98</v>
      </c>
      <c r="H5" s="47" t="s">
        <v>90</v>
      </c>
      <c r="I5" s="47" t="s">
        <v>78</v>
      </c>
      <c r="J5" s="2" t="s">
        <v>91</v>
      </c>
    </row>
    <row r="6" spans="1:10" x14ac:dyDescent="0.35">
      <c r="A6" s="47" t="s">
        <v>487</v>
      </c>
      <c r="B6" s="47" t="s">
        <v>349</v>
      </c>
      <c r="C6" s="47" t="s">
        <v>349</v>
      </c>
      <c r="D6" s="47" t="s">
        <v>488</v>
      </c>
      <c r="E6" s="47" t="s">
        <v>44</v>
      </c>
      <c r="F6" s="47"/>
      <c r="G6" s="48">
        <v>-400</v>
      </c>
      <c r="H6" s="47" t="s">
        <v>77</v>
      </c>
      <c r="I6" s="47" t="s">
        <v>78</v>
      </c>
      <c r="J6" s="2" t="s">
        <v>60</v>
      </c>
    </row>
    <row r="7" spans="1:10" x14ac:dyDescent="0.35">
      <c r="A7" s="47" t="s">
        <v>489</v>
      </c>
      <c r="B7" s="47" t="s">
        <v>349</v>
      </c>
      <c r="C7" s="47" t="s">
        <v>468</v>
      </c>
      <c r="D7" s="47" t="s">
        <v>89</v>
      </c>
      <c r="E7" s="47" t="s">
        <v>44</v>
      </c>
      <c r="F7" s="47"/>
      <c r="G7" s="48">
        <v>-45.77</v>
      </c>
      <c r="H7" s="47" t="s">
        <v>90</v>
      </c>
      <c r="I7" s="47" t="s">
        <v>78</v>
      </c>
      <c r="J7" s="2" t="s">
        <v>91</v>
      </c>
    </row>
    <row r="8" spans="1:10" x14ac:dyDescent="0.35">
      <c r="A8" s="47" t="s">
        <v>484</v>
      </c>
      <c r="B8" s="47" t="s">
        <v>485</v>
      </c>
      <c r="C8" s="47" t="s">
        <v>478</v>
      </c>
      <c r="D8" s="47" t="s">
        <v>49</v>
      </c>
      <c r="E8" s="47" t="s">
        <v>44</v>
      </c>
      <c r="F8" s="47"/>
      <c r="G8" s="48">
        <v>-24.75</v>
      </c>
      <c r="H8" s="47" t="s">
        <v>50</v>
      </c>
      <c r="I8" s="47" t="s">
        <v>51</v>
      </c>
      <c r="J8" s="2" t="s">
        <v>47</v>
      </c>
    </row>
    <row r="9" spans="1:10" x14ac:dyDescent="0.35">
      <c r="A9" s="47" t="s">
        <v>486</v>
      </c>
      <c r="B9" s="47" t="s">
        <v>485</v>
      </c>
      <c r="C9" s="47" t="s">
        <v>485</v>
      </c>
      <c r="D9" s="47" t="s">
        <v>199</v>
      </c>
      <c r="E9" s="47" t="s">
        <v>44</v>
      </c>
      <c r="F9" s="47"/>
      <c r="G9" s="48">
        <v>-2</v>
      </c>
      <c r="H9" s="47" t="s">
        <v>77</v>
      </c>
      <c r="I9" s="47" t="s">
        <v>200</v>
      </c>
      <c r="J9" s="2" t="s">
        <v>79</v>
      </c>
    </row>
    <row r="10" spans="1:10" x14ac:dyDescent="0.35">
      <c r="A10" s="47" t="s">
        <v>479</v>
      </c>
      <c r="B10" s="47" t="s">
        <v>480</v>
      </c>
      <c r="C10" s="47" t="s">
        <v>468</v>
      </c>
      <c r="D10" s="47" t="s">
        <v>89</v>
      </c>
      <c r="E10" s="47" t="s">
        <v>44</v>
      </c>
      <c r="F10" s="47"/>
      <c r="G10" s="48">
        <v>-100.8</v>
      </c>
      <c r="H10" s="47" t="s">
        <v>90</v>
      </c>
      <c r="I10" s="47" t="s">
        <v>78</v>
      </c>
      <c r="J10" s="2" t="s">
        <v>91</v>
      </c>
    </row>
    <row r="11" spans="1:10" x14ac:dyDescent="0.35">
      <c r="A11" s="47" t="s">
        <v>481</v>
      </c>
      <c r="B11" s="47" t="s">
        <v>480</v>
      </c>
      <c r="C11" s="47" t="s">
        <v>480</v>
      </c>
      <c r="D11" s="47" t="s">
        <v>482</v>
      </c>
      <c r="E11" s="47" t="s">
        <v>44</v>
      </c>
      <c r="F11" s="47"/>
      <c r="G11" s="48">
        <v>550</v>
      </c>
      <c r="H11" s="47" t="s">
        <v>176</v>
      </c>
      <c r="I11" s="47" t="s">
        <v>59</v>
      </c>
      <c r="J11" s="2" t="s">
        <v>483</v>
      </c>
    </row>
    <row r="12" spans="1:10" x14ac:dyDescent="0.35">
      <c r="A12" s="47" t="s">
        <v>477</v>
      </c>
      <c r="B12" s="47" t="s">
        <v>478</v>
      </c>
      <c r="C12" s="47" t="s">
        <v>468</v>
      </c>
      <c r="D12" s="47" t="s">
        <v>121</v>
      </c>
      <c r="E12" s="47" t="s">
        <v>44</v>
      </c>
      <c r="F12" s="47"/>
      <c r="G12" s="48">
        <v>-7.23</v>
      </c>
      <c r="H12" s="47" t="s">
        <v>50</v>
      </c>
      <c r="I12" s="47" t="s">
        <v>15</v>
      </c>
      <c r="J12" s="2" t="s">
        <v>47</v>
      </c>
    </row>
    <row r="13" spans="1:10" x14ac:dyDescent="0.35">
      <c r="A13" s="47" t="s">
        <v>474</v>
      </c>
      <c r="B13" s="47" t="s">
        <v>475</v>
      </c>
      <c r="C13" s="47" t="s">
        <v>459</v>
      </c>
      <c r="D13" s="47" t="s">
        <v>476</v>
      </c>
      <c r="E13" s="47" t="s">
        <v>44</v>
      </c>
      <c r="F13" s="47"/>
      <c r="G13" s="48">
        <v>-18.98</v>
      </c>
      <c r="H13" s="47" t="s">
        <v>50</v>
      </c>
      <c r="I13" s="47" t="s">
        <v>165</v>
      </c>
      <c r="J13" s="2" t="s">
        <v>91</v>
      </c>
    </row>
    <row r="14" spans="1:10" x14ac:dyDescent="0.35">
      <c r="A14" s="47" t="s">
        <v>467</v>
      </c>
      <c r="B14" s="47" t="s">
        <v>468</v>
      </c>
      <c r="C14" s="47" t="s">
        <v>460</v>
      </c>
      <c r="D14" s="47" t="s">
        <v>469</v>
      </c>
      <c r="E14" s="47" t="s">
        <v>44</v>
      </c>
      <c r="F14" s="47"/>
      <c r="G14" s="48">
        <v>-150</v>
      </c>
      <c r="H14" s="47" t="s">
        <v>98</v>
      </c>
      <c r="I14" s="47" t="s">
        <v>340</v>
      </c>
      <c r="J14" s="2" t="s">
        <v>341</v>
      </c>
    </row>
    <row r="15" spans="1:10" x14ac:dyDescent="0.35">
      <c r="A15" s="47" t="s">
        <v>471</v>
      </c>
      <c r="B15" s="47" t="s">
        <v>468</v>
      </c>
      <c r="C15" s="47" t="s">
        <v>457</v>
      </c>
      <c r="D15" s="47" t="s">
        <v>472</v>
      </c>
      <c r="E15" s="47" t="s">
        <v>44</v>
      </c>
      <c r="F15" s="47"/>
      <c r="G15" s="48">
        <v>-108.5</v>
      </c>
      <c r="H15" s="47" t="s">
        <v>50</v>
      </c>
      <c r="I15" s="47" t="s">
        <v>19</v>
      </c>
      <c r="J15" s="2" t="s">
        <v>47</v>
      </c>
    </row>
    <row r="16" spans="1:10" x14ac:dyDescent="0.35">
      <c r="A16" s="47" t="s">
        <v>470</v>
      </c>
      <c r="B16" s="47" t="s">
        <v>468</v>
      </c>
      <c r="C16" s="47" t="s">
        <v>457</v>
      </c>
      <c r="D16" s="47" t="s">
        <v>254</v>
      </c>
      <c r="E16" s="47" t="s">
        <v>44</v>
      </c>
      <c r="F16" s="47"/>
      <c r="G16" s="48">
        <v>-44.84</v>
      </c>
      <c r="H16" s="47" t="s">
        <v>50</v>
      </c>
      <c r="I16" s="47" t="s">
        <v>15</v>
      </c>
      <c r="J16" s="2" t="s">
        <v>47</v>
      </c>
    </row>
    <row r="17" spans="1:10" x14ac:dyDescent="0.35">
      <c r="A17" s="47" t="s">
        <v>473</v>
      </c>
      <c r="B17" s="47" t="s">
        <v>468</v>
      </c>
      <c r="C17" s="47" t="s">
        <v>457</v>
      </c>
      <c r="D17" s="47" t="s">
        <v>158</v>
      </c>
      <c r="E17" s="47" t="s">
        <v>44</v>
      </c>
      <c r="F17" s="47"/>
      <c r="G17" s="48">
        <v>-40</v>
      </c>
      <c r="H17" s="47" t="s">
        <v>50</v>
      </c>
      <c r="I17" s="47" t="s">
        <v>19</v>
      </c>
      <c r="J17" s="2" t="s">
        <v>47</v>
      </c>
    </row>
    <row r="18" spans="1:10" x14ac:dyDescent="0.35">
      <c r="A18" s="47" t="s">
        <v>466</v>
      </c>
      <c r="B18" s="47" t="s">
        <v>459</v>
      </c>
      <c r="C18" s="47" t="s">
        <v>452</v>
      </c>
      <c r="D18" s="47" t="s">
        <v>463</v>
      </c>
      <c r="E18" s="47" t="s">
        <v>44</v>
      </c>
      <c r="F18" s="47"/>
      <c r="G18" s="48">
        <v>-60</v>
      </c>
      <c r="H18" s="47" t="s">
        <v>464</v>
      </c>
      <c r="I18" s="47" t="s">
        <v>465</v>
      </c>
      <c r="J18" s="2" t="s">
        <v>91</v>
      </c>
    </row>
    <row r="19" spans="1:10" x14ac:dyDescent="0.35">
      <c r="A19" s="47" t="s">
        <v>458</v>
      </c>
      <c r="B19" s="47" t="s">
        <v>459</v>
      </c>
      <c r="C19" s="47" t="s">
        <v>460</v>
      </c>
      <c r="D19" s="47" t="s">
        <v>461</v>
      </c>
      <c r="E19" s="47" t="s">
        <v>44</v>
      </c>
      <c r="F19" s="47"/>
      <c r="G19" s="48">
        <v>-56.8</v>
      </c>
      <c r="H19" s="47" t="s">
        <v>45</v>
      </c>
      <c r="I19" s="47" t="s">
        <v>46</v>
      </c>
      <c r="J19" s="2" t="s">
        <v>47</v>
      </c>
    </row>
    <row r="20" spans="1:10" x14ac:dyDescent="0.35">
      <c r="A20" s="47" t="s">
        <v>462</v>
      </c>
      <c r="B20" s="47" t="s">
        <v>459</v>
      </c>
      <c r="C20" s="47" t="s">
        <v>452</v>
      </c>
      <c r="D20" s="47" t="s">
        <v>463</v>
      </c>
      <c r="E20" s="47" t="s">
        <v>44</v>
      </c>
      <c r="F20" s="47"/>
      <c r="G20" s="48">
        <v>-16</v>
      </c>
      <c r="H20" s="47" t="s">
        <v>464</v>
      </c>
      <c r="I20" s="47" t="s">
        <v>465</v>
      </c>
      <c r="J20" s="2" t="s">
        <v>91</v>
      </c>
    </row>
    <row r="21" spans="1:10" x14ac:dyDescent="0.35">
      <c r="A21" s="47" t="s">
        <v>456</v>
      </c>
      <c r="B21" s="47" t="s">
        <v>457</v>
      </c>
      <c r="C21" s="47" t="s">
        <v>452</v>
      </c>
      <c r="D21" s="47" t="s">
        <v>287</v>
      </c>
      <c r="E21" s="47" t="s">
        <v>44</v>
      </c>
      <c r="F21" s="47"/>
      <c r="G21" s="48">
        <v>-47.3</v>
      </c>
      <c r="H21" s="47" t="s">
        <v>251</v>
      </c>
      <c r="I21" s="47" t="s">
        <v>288</v>
      </c>
      <c r="J21" s="2" t="s">
        <v>47</v>
      </c>
    </row>
    <row r="22" spans="1:10" x14ac:dyDescent="0.35">
      <c r="A22" s="47" t="s">
        <v>454</v>
      </c>
      <c r="B22" s="47" t="s">
        <v>452</v>
      </c>
      <c r="C22" s="47" t="s">
        <v>444</v>
      </c>
      <c r="D22" s="47" t="s">
        <v>455</v>
      </c>
      <c r="E22" s="47" t="s">
        <v>44</v>
      </c>
      <c r="F22" s="47"/>
      <c r="G22" s="48">
        <v>-53.34</v>
      </c>
      <c r="H22" s="47" t="s">
        <v>50</v>
      </c>
      <c r="I22" s="47" t="s">
        <v>15</v>
      </c>
      <c r="J22" s="2" t="s">
        <v>47</v>
      </c>
    </row>
    <row r="23" spans="1:10" x14ac:dyDescent="0.35">
      <c r="A23" s="47" t="s">
        <v>451</v>
      </c>
      <c r="B23" s="47" t="s">
        <v>452</v>
      </c>
      <c r="C23" s="47" t="s">
        <v>444</v>
      </c>
      <c r="D23" s="47" t="s">
        <v>453</v>
      </c>
      <c r="E23" s="47" t="s">
        <v>44</v>
      </c>
      <c r="F23" s="47"/>
      <c r="G23" s="48">
        <v>-3.8</v>
      </c>
      <c r="H23" s="47" t="s">
        <v>73</v>
      </c>
      <c r="I23" s="47" t="s">
        <v>74</v>
      </c>
      <c r="J23" s="2" t="s">
        <v>47</v>
      </c>
    </row>
    <row r="24" spans="1:10" x14ac:dyDescent="0.35">
      <c r="A24" s="47" t="s">
        <v>446</v>
      </c>
      <c r="B24" s="47" t="s">
        <v>447</v>
      </c>
      <c r="C24" s="47" t="s">
        <v>438</v>
      </c>
      <c r="D24" s="47" t="s">
        <v>448</v>
      </c>
      <c r="E24" s="47" t="s">
        <v>44</v>
      </c>
      <c r="F24" s="47"/>
      <c r="G24" s="48">
        <v>-31</v>
      </c>
      <c r="H24" s="47" t="s">
        <v>45</v>
      </c>
      <c r="I24" s="47" t="s">
        <v>46</v>
      </c>
      <c r="J24" s="2" t="s">
        <v>47</v>
      </c>
    </row>
    <row r="25" spans="1:10" x14ac:dyDescent="0.35">
      <c r="A25" s="47" t="s">
        <v>449</v>
      </c>
      <c r="B25" s="47" t="s">
        <v>447</v>
      </c>
      <c r="C25" s="47" t="s">
        <v>444</v>
      </c>
      <c r="D25" s="47" t="s">
        <v>450</v>
      </c>
      <c r="E25" s="47" t="s">
        <v>44</v>
      </c>
      <c r="F25" s="47"/>
      <c r="G25" s="48">
        <v>-3.8</v>
      </c>
      <c r="H25" s="47" t="s">
        <v>73</v>
      </c>
      <c r="I25" s="47" t="s">
        <v>74</v>
      </c>
      <c r="J25" s="2" t="s">
        <v>47</v>
      </c>
    </row>
    <row r="26" spans="1:10" x14ac:dyDescent="0.35">
      <c r="A26" s="47" t="s">
        <v>443</v>
      </c>
      <c r="B26" s="47" t="s">
        <v>444</v>
      </c>
      <c r="C26" s="47" t="s">
        <v>438</v>
      </c>
      <c r="D26" s="47" t="s">
        <v>445</v>
      </c>
      <c r="E26" s="47" t="s">
        <v>44</v>
      </c>
      <c r="F26" s="47"/>
      <c r="G26" s="48">
        <v>-7.25</v>
      </c>
      <c r="H26" s="47" t="s">
        <v>45</v>
      </c>
      <c r="I26" s="47" t="s">
        <v>361</v>
      </c>
      <c r="J26" s="2" t="s">
        <v>47</v>
      </c>
    </row>
    <row r="27" spans="1:10" x14ac:dyDescent="0.35">
      <c r="A27" s="47" t="s">
        <v>441</v>
      </c>
      <c r="B27" s="47" t="s">
        <v>440</v>
      </c>
      <c r="C27" s="47" t="s">
        <v>440</v>
      </c>
      <c r="D27" s="47" t="s">
        <v>442</v>
      </c>
      <c r="E27" s="47" t="s">
        <v>44</v>
      </c>
      <c r="F27" s="47"/>
      <c r="G27" s="48">
        <v>-265.45</v>
      </c>
      <c r="H27" s="47" t="s">
        <v>50</v>
      </c>
      <c r="I27" s="47" t="s">
        <v>21</v>
      </c>
      <c r="J27" s="2" t="s">
        <v>79</v>
      </c>
    </row>
    <row r="28" spans="1:10" x14ac:dyDescent="0.35">
      <c r="A28" s="47" t="s">
        <v>439</v>
      </c>
      <c r="B28" s="47" t="s">
        <v>440</v>
      </c>
      <c r="C28" s="47" t="s">
        <v>434</v>
      </c>
      <c r="D28" s="47" t="s">
        <v>63</v>
      </c>
      <c r="E28" s="47" t="s">
        <v>44</v>
      </c>
      <c r="F28" s="47"/>
      <c r="G28" s="48">
        <v>-55.03</v>
      </c>
      <c r="H28" s="47" t="s">
        <v>50</v>
      </c>
      <c r="I28" s="47" t="s">
        <v>15</v>
      </c>
      <c r="J28" s="2" t="s">
        <v>47</v>
      </c>
    </row>
    <row r="29" spans="1:10" x14ac:dyDescent="0.35">
      <c r="A29" s="47" t="s">
        <v>437</v>
      </c>
      <c r="B29" s="47" t="s">
        <v>438</v>
      </c>
      <c r="C29" s="47" t="s">
        <v>430</v>
      </c>
      <c r="D29" s="47" t="s">
        <v>63</v>
      </c>
      <c r="E29" s="47" t="s">
        <v>44</v>
      </c>
      <c r="F29" s="47"/>
      <c r="G29" s="48">
        <v>-7.37</v>
      </c>
      <c r="H29" s="47" t="s">
        <v>50</v>
      </c>
      <c r="I29" s="47" t="s">
        <v>15</v>
      </c>
      <c r="J29" s="2" t="s">
        <v>47</v>
      </c>
    </row>
    <row r="30" spans="1:10" x14ac:dyDescent="0.35">
      <c r="A30" s="47" t="s">
        <v>433</v>
      </c>
      <c r="B30" s="47" t="s">
        <v>434</v>
      </c>
      <c r="C30" s="47" t="s">
        <v>434</v>
      </c>
      <c r="D30" s="47" t="s">
        <v>435</v>
      </c>
      <c r="E30" s="47" t="s">
        <v>44</v>
      </c>
      <c r="F30" s="47"/>
      <c r="G30" s="48">
        <v>-330</v>
      </c>
      <c r="H30" s="47" t="s">
        <v>98</v>
      </c>
      <c r="I30" s="47" t="s">
        <v>436</v>
      </c>
      <c r="J30" s="2" t="s">
        <v>60</v>
      </c>
    </row>
    <row r="31" spans="1:10" x14ac:dyDescent="0.35">
      <c r="A31" s="47" t="s">
        <v>432</v>
      </c>
      <c r="B31" s="47" t="s">
        <v>430</v>
      </c>
      <c r="C31" s="47" t="s">
        <v>426</v>
      </c>
      <c r="D31" s="47" t="s">
        <v>121</v>
      </c>
      <c r="E31" s="47" t="s">
        <v>44</v>
      </c>
      <c r="F31" s="47"/>
      <c r="G31" s="48">
        <v>-36.43</v>
      </c>
      <c r="H31" s="47" t="s">
        <v>50</v>
      </c>
      <c r="I31" s="47" t="s">
        <v>15</v>
      </c>
      <c r="J31" s="2" t="s">
        <v>47</v>
      </c>
    </row>
    <row r="32" spans="1:10" x14ac:dyDescent="0.35">
      <c r="A32" s="47" t="s">
        <v>429</v>
      </c>
      <c r="B32" s="47" t="s">
        <v>430</v>
      </c>
      <c r="C32" s="47" t="s">
        <v>426</v>
      </c>
      <c r="D32" s="47" t="s">
        <v>431</v>
      </c>
      <c r="E32" s="47" t="s">
        <v>44</v>
      </c>
      <c r="F32" s="47"/>
      <c r="G32" s="48">
        <v>-27.3</v>
      </c>
      <c r="H32" s="47" t="s">
        <v>251</v>
      </c>
      <c r="I32" s="47" t="s">
        <v>288</v>
      </c>
      <c r="J32" s="2" t="s">
        <v>47</v>
      </c>
    </row>
    <row r="33" spans="1:10" x14ac:dyDescent="0.35">
      <c r="A33" s="47" t="s">
        <v>427</v>
      </c>
      <c r="B33" s="47" t="s">
        <v>428</v>
      </c>
      <c r="C33" s="47" t="s">
        <v>426</v>
      </c>
      <c r="D33" s="47" t="s">
        <v>197</v>
      </c>
      <c r="E33" s="47" t="s">
        <v>44</v>
      </c>
      <c r="F33" s="47"/>
      <c r="G33" s="48">
        <v>-72.2</v>
      </c>
      <c r="H33" s="47" t="s">
        <v>50</v>
      </c>
      <c r="I33" s="47" t="s">
        <v>19</v>
      </c>
      <c r="J33" s="2" t="s">
        <v>47</v>
      </c>
    </row>
    <row r="34" spans="1:10" x14ac:dyDescent="0.35">
      <c r="A34" s="47" t="s">
        <v>425</v>
      </c>
      <c r="B34" s="47" t="s">
        <v>426</v>
      </c>
      <c r="C34" s="47" t="s">
        <v>421</v>
      </c>
      <c r="D34" s="47" t="s">
        <v>158</v>
      </c>
      <c r="E34" s="47" t="s">
        <v>44</v>
      </c>
      <c r="F34" s="47"/>
      <c r="G34" s="48">
        <v>-394</v>
      </c>
      <c r="H34" s="47" t="s">
        <v>50</v>
      </c>
      <c r="I34" s="47" t="s">
        <v>19</v>
      </c>
      <c r="J34" s="2" t="s">
        <v>47</v>
      </c>
    </row>
    <row r="35" spans="1:10" x14ac:dyDescent="0.35">
      <c r="A35" s="47" t="s">
        <v>420</v>
      </c>
      <c r="B35" s="47" t="s">
        <v>421</v>
      </c>
      <c r="C35" s="47" t="s">
        <v>421</v>
      </c>
      <c r="D35" s="47" t="s">
        <v>422</v>
      </c>
      <c r="E35" s="47" t="s">
        <v>44</v>
      </c>
      <c r="F35" s="47"/>
      <c r="G35" s="48">
        <v>-500</v>
      </c>
      <c r="H35" s="47" t="s">
        <v>73</v>
      </c>
      <c r="I35" s="47" t="s">
        <v>192</v>
      </c>
      <c r="J35" s="2" t="s">
        <v>60</v>
      </c>
    </row>
    <row r="36" spans="1:10" x14ac:dyDescent="0.35">
      <c r="A36" s="47" t="s">
        <v>423</v>
      </c>
      <c r="B36" s="47" t="s">
        <v>421</v>
      </c>
      <c r="C36" s="47" t="s">
        <v>415</v>
      </c>
      <c r="D36" s="47" t="s">
        <v>424</v>
      </c>
      <c r="E36" s="47" t="s">
        <v>44</v>
      </c>
      <c r="F36" s="47"/>
      <c r="G36" s="48">
        <v>-19.100000000000001</v>
      </c>
      <c r="H36" s="47" t="s">
        <v>73</v>
      </c>
      <c r="I36" s="47" t="s">
        <v>74</v>
      </c>
      <c r="J36" s="2" t="s">
        <v>47</v>
      </c>
    </row>
    <row r="37" spans="1:10" x14ac:dyDescent="0.35">
      <c r="A37" s="47" t="s">
        <v>418</v>
      </c>
      <c r="B37" s="47" t="s">
        <v>419</v>
      </c>
      <c r="C37" s="47" t="s">
        <v>419</v>
      </c>
      <c r="D37" s="47" t="s">
        <v>211</v>
      </c>
      <c r="E37" s="47" t="s">
        <v>44</v>
      </c>
      <c r="F37" s="17"/>
      <c r="G37" s="48">
        <v>3525.4</v>
      </c>
      <c r="H37" s="47" t="s">
        <v>58</v>
      </c>
      <c r="I37" s="47" t="s">
        <v>59</v>
      </c>
      <c r="J37" s="2" t="s">
        <v>60</v>
      </c>
    </row>
    <row r="38" spans="1:10" x14ac:dyDescent="0.35">
      <c r="A38" s="47" t="s">
        <v>416</v>
      </c>
      <c r="B38" s="47" t="s">
        <v>415</v>
      </c>
      <c r="C38" s="47" t="s">
        <v>415</v>
      </c>
      <c r="D38" s="47" t="s">
        <v>417</v>
      </c>
      <c r="E38" s="47" t="s">
        <v>44</v>
      </c>
      <c r="F38" s="47"/>
      <c r="G38" s="48">
        <v>-881.2</v>
      </c>
      <c r="H38" s="17" t="s">
        <v>1698</v>
      </c>
      <c r="I38" s="17" t="s">
        <v>205</v>
      </c>
      <c r="J38" s="2" t="s">
        <v>79</v>
      </c>
    </row>
    <row r="39" spans="1:10" x14ac:dyDescent="0.35">
      <c r="A39" s="47" t="s">
        <v>414</v>
      </c>
      <c r="B39" s="47" t="s">
        <v>415</v>
      </c>
      <c r="C39" s="47" t="s">
        <v>415</v>
      </c>
      <c r="D39" s="47" t="s">
        <v>57</v>
      </c>
      <c r="E39" s="47" t="s">
        <v>44</v>
      </c>
      <c r="F39" s="17"/>
      <c r="G39" s="48">
        <v>1265.3499999999999</v>
      </c>
      <c r="H39" s="47" t="s">
        <v>58</v>
      </c>
      <c r="I39" s="47" t="s">
        <v>59</v>
      </c>
      <c r="J39" s="2" t="s">
        <v>60</v>
      </c>
    </row>
    <row r="40" spans="1:10" x14ac:dyDescent="0.35">
      <c r="C40" s="54">
        <v>45691</v>
      </c>
      <c r="D40" s="53" t="s">
        <v>498</v>
      </c>
      <c r="E40" s="15" t="s">
        <v>44</v>
      </c>
      <c r="G40" s="16">
        <v>-1193.3</v>
      </c>
      <c r="H40" s="47" t="s">
        <v>73</v>
      </c>
      <c r="I40" s="17" t="s">
        <v>499</v>
      </c>
      <c r="J40" s="18" t="s">
        <v>497</v>
      </c>
    </row>
    <row r="41" spans="1:10" x14ac:dyDescent="0.35">
      <c r="C41" s="54">
        <v>45705</v>
      </c>
      <c r="D41" s="50" t="s">
        <v>345</v>
      </c>
      <c r="E41" s="15" t="s">
        <v>44</v>
      </c>
      <c r="G41" s="16">
        <v>-925</v>
      </c>
      <c r="H41" s="47" t="s">
        <v>464</v>
      </c>
      <c r="I41" s="52" t="s">
        <v>78</v>
      </c>
      <c r="J41" s="18" t="s">
        <v>497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4FEC-0234-4632-9B06-D67698542874}">
  <dimension ref="A1:B36"/>
  <sheetViews>
    <sheetView workbookViewId="0">
      <selection activeCell="A26" sqref="A26"/>
    </sheetView>
  </sheetViews>
  <sheetFormatPr defaultRowHeight="12.75" x14ac:dyDescent="0.35"/>
  <cols>
    <col min="1" max="1" width="31.0664062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-480</v>
      </c>
    </row>
    <row r="7" spans="1:2" x14ac:dyDescent="0.35">
      <c r="A7" s="28" t="s">
        <v>436</v>
      </c>
      <c r="B7" s="12">
        <v>-330</v>
      </c>
    </row>
    <row r="8" spans="1:2" x14ac:dyDescent="0.35">
      <c r="A8" s="28" t="s">
        <v>340</v>
      </c>
      <c r="B8" s="12">
        <v>-150</v>
      </c>
    </row>
    <row r="9" spans="1:2" x14ac:dyDescent="0.35">
      <c r="A9" s="14" t="s">
        <v>45</v>
      </c>
      <c r="B9" s="12">
        <v>-95.05</v>
      </c>
    </row>
    <row r="10" spans="1:2" x14ac:dyDescent="0.35">
      <c r="A10" s="28" t="s">
        <v>361</v>
      </c>
      <c r="B10" s="12">
        <v>-7.25</v>
      </c>
    </row>
    <row r="11" spans="1:2" x14ac:dyDescent="0.35">
      <c r="A11" s="28" t="s">
        <v>46</v>
      </c>
      <c r="B11" s="12">
        <v>-87.8</v>
      </c>
    </row>
    <row r="12" spans="1:2" x14ac:dyDescent="0.35">
      <c r="A12" s="14" t="s">
        <v>50</v>
      </c>
      <c r="B12" s="12">
        <v>-1138.1200000000001</v>
      </c>
    </row>
    <row r="13" spans="1:2" x14ac:dyDescent="0.35">
      <c r="A13" s="28" t="s">
        <v>165</v>
      </c>
      <c r="B13" s="12">
        <v>-18.98</v>
      </c>
    </row>
    <row r="14" spans="1:2" x14ac:dyDescent="0.35">
      <c r="A14" s="28" t="s">
        <v>15</v>
      </c>
      <c r="B14" s="12">
        <v>-214.24</v>
      </c>
    </row>
    <row r="15" spans="1:2" x14ac:dyDescent="0.35">
      <c r="A15" s="28" t="s">
        <v>19</v>
      </c>
      <c r="B15" s="12">
        <v>-614.70000000000005</v>
      </c>
    </row>
    <row r="16" spans="1:2" x14ac:dyDescent="0.35">
      <c r="A16" s="28" t="s">
        <v>21</v>
      </c>
      <c r="B16" s="12">
        <v>-265.45</v>
      </c>
    </row>
    <row r="17" spans="1:2" x14ac:dyDescent="0.35">
      <c r="A17" s="28" t="s">
        <v>51</v>
      </c>
      <c r="B17" s="12">
        <v>-24.75</v>
      </c>
    </row>
    <row r="18" spans="1:2" x14ac:dyDescent="0.35">
      <c r="A18" s="14" t="s">
        <v>58</v>
      </c>
      <c r="B18" s="12">
        <v>4790.75</v>
      </c>
    </row>
    <row r="19" spans="1:2" x14ac:dyDescent="0.35">
      <c r="A19" s="28" t="s">
        <v>59</v>
      </c>
      <c r="B19" s="12">
        <v>4790.75</v>
      </c>
    </row>
    <row r="20" spans="1:2" x14ac:dyDescent="0.35">
      <c r="A20" s="14" t="s">
        <v>251</v>
      </c>
      <c r="B20" s="12">
        <v>-74.599999999999994</v>
      </c>
    </row>
    <row r="21" spans="1:2" x14ac:dyDescent="0.35">
      <c r="A21" s="28" t="s">
        <v>288</v>
      </c>
      <c r="B21" s="12">
        <v>-74.599999999999994</v>
      </c>
    </row>
    <row r="22" spans="1:2" x14ac:dyDescent="0.35">
      <c r="A22" s="14" t="s">
        <v>90</v>
      </c>
      <c r="B22" s="12">
        <v>-190.55</v>
      </c>
    </row>
    <row r="23" spans="1:2" x14ac:dyDescent="0.35">
      <c r="A23" s="28" t="s">
        <v>78</v>
      </c>
      <c r="B23" s="12">
        <v>-190.55</v>
      </c>
    </row>
    <row r="24" spans="1:2" x14ac:dyDescent="0.35">
      <c r="A24" s="14" t="s">
        <v>464</v>
      </c>
      <c r="B24" s="12">
        <v>-1042</v>
      </c>
    </row>
    <row r="25" spans="1:2" x14ac:dyDescent="0.35">
      <c r="A25" s="28" t="s">
        <v>465</v>
      </c>
      <c r="B25" s="12">
        <v>-76</v>
      </c>
    </row>
    <row r="26" spans="1:2" x14ac:dyDescent="0.35">
      <c r="A26" s="28" t="s">
        <v>78</v>
      </c>
      <c r="B26" s="12">
        <v>-966</v>
      </c>
    </row>
    <row r="27" spans="1:2" x14ac:dyDescent="0.35">
      <c r="A27" s="14" t="s">
        <v>77</v>
      </c>
      <c r="B27" s="12">
        <v>-402</v>
      </c>
    </row>
    <row r="28" spans="1:2" x14ac:dyDescent="0.35">
      <c r="A28" s="28" t="s">
        <v>200</v>
      </c>
      <c r="B28" s="12">
        <v>-2</v>
      </c>
    </row>
    <row r="29" spans="1:2" x14ac:dyDescent="0.35">
      <c r="A29" s="28" t="s">
        <v>78</v>
      </c>
      <c r="B29" s="12">
        <v>-400</v>
      </c>
    </row>
    <row r="30" spans="1:2" x14ac:dyDescent="0.35">
      <c r="A30" s="14" t="s">
        <v>73</v>
      </c>
      <c r="B30" s="12">
        <v>-1720</v>
      </c>
    </row>
    <row r="31" spans="1:2" x14ac:dyDescent="0.35">
      <c r="A31" s="28" t="s">
        <v>192</v>
      </c>
      <c r="B31" s="12">
        <v>-500</v>
      </c>
    </row>
    <row r="32" spans="1:2" x14ac:dyDescent="0.35">
      <c r="A32" s="28" t="s">
        <v>74</v>
      </c>
      <c r="B32" s="12">
        <v>-26.700000000000003</v>
      </c>
    </row>
    <row r="33" spans="1:2" x14ac:dyDescent="0.35">
      <c r="A33" s="28" t="s">
        <v>499</v>
      </c>
      <c r="B33" s="12">
        <v>-1193.3</v>
      </c>
    </row>
    <row r="34" spans="1:2" x14ac:dyDescent="0.35">
      <c r="A34" s="14" t="s">
        <v>1698</v>
      </c>
      <c r="B34" s="12">
        <v>-881.2</v>
      </c>
    </row>
    <row r="35" spans="1:2" x14ac:dyDescent="0.35">
      <c r="A35" s="28" t="s">
        <v>205</v>
      </c>
      <c r="B35" s="12">
        <v>-881.2</v>
      </c>
    </row>
    <row r="36" spans="1:2" x14ac:dyDescent="0.35">
      <c r="A36" s="14" t="s">
        <v>208</v>
      </c>
      <c r="B36" s="12">
        <v>-682.77000000000021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D3F8-AB79-46BA-B432-A40FDBDC8B71}">
  <dimension ref="A1:J46"/>
  <sheetViews>
    <sheetView workbookViewId="0">
      <selection activeCell="I47" sqref="I47"/>
    </sheetView>
  </sheetViews>
  <sheetFormatPr defaultRowHeight="12.75" x14ac:dyDescent="0.35"/>
  <cols>
    <col min="1" max="1" width="20.3984375" customWidth="1"/>
    <col min="2" max="2" width="16.73046875" customWidth="1"/>
    <col min="3" max="3" width="12.265625" customWidth="1"/>
    <col min="4" max="4" width="12.86328125" customWidth="1"/>
    <col min="7" max="7" width="9.3984375" customWidth="1"/>
    <col min="8" max="8" width="11" customWidth="1"/>
    <col min="9" max="9" width="15.3984375" customWidth="1"/>
    <col min="10" max="10" width="10.265625" customWidth="1"/>
  </cols>
  <sheetData>
    <row r="1" spans="1:10" ht="13.15" x14ac:dyDescent="0.4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37</v>
      </c>
      <c r="G1" s="4" t="s">
        <v>36</v>
      </c>
      <c r="H1" s="4" t="s">
        <v>38</v>
      </c>
      <c r="I1" s="4" t="s">
        <v>39</v>
      </c>
      <c r="J1" s="4" t="s">
        <v>40</v>
      </c>
    </row>
    <row r="2" spans="1:10" x14ac:dyDescent="0.35">
      <c r="A2" s="47" t="s">
        <v>594</v>
      </c>
      <c r="B2" s="47" t="s">
        <v>412</v>
      </c>
      <c r="C2" s="47" t="s">
        <v>593</v>
      </c>
      <c r="D2" s="47" t="s">
        <v>413</v>
      </c>
      <c r="E2" s="47" t="s">
        <v>44</v>
      </c>
      <c r="F2" s="47"/>
      <c r="G2" s="48">
        <v>-43.98</v>
      </c>
      <c r="H2" s="47" t="s">
        <v>90</v>
      </c>
      <c r="I2" s="47" t="s">
        <v>78</v>
      </c>
      <c r="J2" s="47" t="s">
        <v>91</v>
      </c>
    </row>
    <row r="3" spans="1:10" x14ac:dyDescent="0.35">
      <c r="A3" s="47" t="s">
        <v>587</v>
      </c>
      <c r="B3" s="47" t="s">
        <v>588</v>
      </c>
      <c r="C3" s="47" t="s">
        <v>583</v>
      </c>
      <c r="D3" s="47" t="s">
        <v>589</v>
      </c>
      <c r="E3" s="47" t="s">
        <v>44</v>
      </c>
      <c r="F3" s="47"/>
      <c r="G3" s="48">
        <v>-102.63</v>
      </c>
      <c r="H3" s="47" t="s">
        <v>90</v>
      </c>
      <c r="I3" s="47" t="s">
        <v>590</v>
      </c>
      <c r="J3" s="47" t="s">
        <v>47</v>
      </c>
    </row>
    <row r="4" spans="1:10" x14ac:dyDescent="0.35">
      <c r="A4" s="47" t="s">
        <v>592</v>
      </c>
      <c r="B4" s="47" t="s">
        <v>588</v>
      </c>
      <c r="C4" s="47" t="s">
        <v>593</v>
      </c>
      <c r="D4" s="47" t="s">
        <v>197</v>
      </c>
      <c r="E4" s="47" t="s">
        <v>44</v>
      </c>
      <c r="F4" s="47"/>
      <c r="G4" s="48">
        <v>-102.55</v>
      </c>
      <c r="H4" s="47" t="s">
        <v>50</v>
      </c>
      <c r="I4" s="47" t="s">
        <v>19</v>
      </c>
      <c r="J4" s="47" t="s">
        <v>47</v>
      </c>
    </row>
    <row r="5" spans="1:10" x14ac:dyDescent="0.35">
      <c r="A5" s="47" t="s">
        <v>591</v>
      </c>
      <c r="B5" s="47" t="s">
        <v>588</v>
      </c>
      <c r="C5" s="47" t="s">
        <v>583</v>
      </c>
      <c r="D5" s="47" t="s">
        <v>561</v>
      </c>
      <c r="E5" s="47" t="s">
        <v>44</v>
      </c>
      <c r="F5" s="47"/>
      <c r="G5" s="48">
        <v>-43.95</v>
      </c>
      <c r="H5" s="47" t="s">
        <v>90</v>
      </c>
      <c r="I5" s="47" t="s">
        <v>106</v>
      </c>
      <c r="J5" s="47" t="s">
        <v>47</v>
      </c>
    </row>
    <row r="6" spans="1:10" x14ac:dyDescent="0.35">
      <c r="A6" s="47"/>
      <c r="B6" s="47" t="s">
        <v>593</v>
      </c>
      <c r="C6" s="47" t="s">
        <v>593</v>
      </c>
      <c r="D6" s="47" t="s">
        <v>595</v>
      </c>
      <c r="E6" s="47" t="s">
        <v>44</v>
      </c>
      <c r="F6" s="47"/>
      <c r="G6" s="48">
        <v>-1193.3</v>
      </c>
      <c r="H6" s="47" t="s">
        <v>73</v>
      </c>
      <c r="I6" s="47" t="s">
        <v>499</v>
      </c>
      <c r="J6" s="47"/>
    </row>
    <row r="7" spans="1:10" x14ac:dyDescent="0.35">
      <c r="A7" s="47" t="s">
        <v>585</v>
      </c>
      <c r="B7" s="47" t="s">
        <v>583</v>
      </c>
      <c r="C7" s="47" t="s">
        <v>586</v>
      </c>
      <c r="D7" s="47" t="s">
        <v>121</v>
      </c>
      <c r="E7" s="47" t="s">
        <v>44</v>
      </c>
      <c r="F7" s="47"/>
      <c r="G7" s="48">
        <v>-52.86</v>
      </c>
      <c r="H7" s="7" t="s">
        <v>50</v>
      </c>
      <c r="I7" s="7" t="s">
        <v>15</v>
      </c>
      <c r="J7" s="47" t="s">
        <v>47</v>
      </c>
    </row>
    <row r="8" spans="1:10" x14ac:dyDescent="0.35">
      <c r="A8" s="47" t="s">
        <v>582</v>
      </c>
      <c r="B8" s="47" t="s">
        <v>583</v>
      </c>
      <c r="C8" s="47" t="s">
        <v>583</v>
      </c>
      <c r="D8" s="47" t="s">
        <v>584</v>
      </c>
      <c r="E8" s="47" t="s">
        <v>44</v>
      </c>
      <c r="F8" s="47"/>
      <c r="G8" s="48">
        <v>550</v>
      </c>
      <c r="H8" s="47" t="s">
        <v>176</v>
      </c>
      <c r="I8" s="47" t="s">
        <v>59</v>
      </c>
      <c r="J8" s="47" t="s">
        <v>483</v>
      </c>
    </row>
    <row r="9" spans="1:10" x14ac:dyDescent="0.35">
      <c r="A9" s="47" t="s">
        <v>579</v>
      </c>
      <c r="B9" s="47" t="s">
        <v>580</v>
      </c>
      <c r="C9" s="47" t="s">
        <v>572</v>
      </c>
      <c r="D9" s="47" t="s">
        <v>63</v>
      </c>
      <c r="E9" s="47" t="s">
        <v>44</v>
      </c>
      <c r="F9" s="47"/>
      <c r="G9" s="48">
        <v>-47.65</v>
      </c>
      <c r="H9" s="47" t="s">
        <v>50</v>
      </c>
      <c r="I9" s="47" t="s">
        <v>15</v>
      </c>
      <c r="J9" s="47" t="s">
        <v>47</v>
      </c>
    </row>
    <row r="10" spans="1:10" x14ac:dyDescent="0.35">
      <c r="A10" s="47" t="s">
        <v>581</v>
      </c>
      <c r="B10" s="47" t="s">
        <v>580</v>
      </c>
      <c r="C10" s="47" t="s">
        <v>574</v>
      </c>
      <c r="D10" s="47" t="s">
        <v>257</v>
      </c>
      <c r="E10" s="47" t="s">
        <v>44</v>
      </c>
      <c r="F10" s="47"/>
      <c r="G10" s="48">
        <v>-18.98</v>
      </c>
      <c r="H10" s="47" t="s">
        <v>50</v>
      </c>
      <c r="I10" s="47" t="s">
        <v>165</v>
      </c>
      <c r="J10" s="47" t="s">
        <v>91</v>
      </c>
    </row>
    <row r="11" spans="1:10" x14ac:dyDescent="0.35">
      <c r="A11" s="47" t="s">
        <v>573</v>
      </c>
      <c r="B11" s="47" t="s">
        <v>574</v>
      </c>
      <c r="C11" s="47" t="s">
        <v>572</v>
      </c>
      <c r="D11" s="47" t="s">
        <v>575</v>
      </c>
      <c r="E11" s="47" t="s">
        <v>44</v>
      </c>
      <c r="F11" s="47"/>
      <c r="G11" s="48">
        <v>-58.3</v>
      </c>
      <c r="H11" s="47" t="s">
        <v>45</v>
      </c>
      <c r="I11" s="47" t="s">
        <v>46</v>
      </c>
      <c r="J11" s="47" t="s">
        <v>47</v>
      </c>
    </row>
    <row r="12" spans="1:10" x14ac:dyDescent="0.35">
      <c r="A12" s="47" t="s">
        <v>577</v>
      </c>
      <c r="B12" s="47" t="s">
        <v>574</v>
      </c>
      <c r="C12" s="47" t="s">
        <v>569</v>
      </c>
      <c r="D12" s="47" t="s">
        <v>578</v>
      </c>
      <c r="E12" s="47" t="s">
        <v>44</v>
      </c>
      <c r="F12" s="47"/>
      <c r="G12" s="48">
        <v>-20</v>
      </c>
      <c r="H12" s="47" t="s">
        <v>73</v>
      </c>
      <c r="I12" s="47" t="s">
        <v>309</v>
      </c>
      <c r="J12" s="47" t="s">
        <v>47</v>
      </c>
    </row>
    <row r="13" spans="1:10" x14ac:dyDescent="0.35">
      <c r="A13" s="47" t="s">
        <v>576</v>
      </c>
      <c r="B13" s="47" t="s">
        <v>574</v>
      </c>
      <c r="C13" s="47" t="s">
        <v>569</v>
      </c>
      <c r="D13" s="47" t="s">
        <v>108</v>
      </c>
      <c r="E13" s="47" t="s">
        <v>44</v>
      </c>
      <c r="F13" s="47"/>
      <c r="G13" s="48">
        <v>-9</v>
      </c>
      <c r="H13" s="47" t="s">
        <v>50</v>
      </c>
      <c r="I13" s="47" t="s">
        <v>15</v>
      </c>
      <c r="J13" s="47" t="s">
        <v>47</v>
      </c>
    </row>
    <row r="14" spans="1:10" x14ac:dyDescent="0.35">
      <c r="A14" s="47" t="s">
        <v>571</v>
      </c>
      <c r="B14" s="47" t="s">
        <v>572</v>
      </c>
      <c r="C14" s="47" t="s">
        <v>564</v>
      </c>
      <c r="D14" s="47" t="s">
        <v>63</v>
      </c>
      <c r="E14" s="47" t="s">
        <v>44</v>
      </c>
      <c r="F14" s="47"/>
      <c r="G14" s="48">
        <v>-40.92</v>
      </c>
      <c r="H14" s="47" t="s">
        <v>50</v>
      </c>
      <c r="I14" s="47" t="s">
        <v>15</v>
      </c>
      <c r="J14" s="47" t="s">
        <v>47</v>
      </c>
    </row>
    <row r="15" spans="1:10" x14ac:dyDescent="0.35">
      <c r="A15" s="47" t="s">
        <v>568</v>
      </c>
      <c r="B15" s="47" t="s">
        <v>569</v>
      </c>
      <c r="C15" s="47" t="s">
        <v>555</v>
      </c>
      <c r="D15" s="47" t="s">
        <v>168</v>
      </c>
      <c r="E15" s="47" t="s">
        <v>44</v>
      </c>
      <c r="F15" s="47"/>
      <c r="G15" s="48">
        <v>-13.98</v>
      </c>
      <c r="H15" s="47" t="s">
        <v>90</v>
      </c>
      <c r="I15" s="47" t="s">
        <v>570</v>
      </c>
      <c r="J15" s="47" t="s">
        <v>47</v>
      </c>
    </row>
    <row r="16" spans="1:10" x14ac:dyDescent="0.35">
      <c r="A16" s="47" t="s">
        <v>566</v>
      </c>
      <c r="B16" s="47" t="s">
        <v>564</v>
      </c>
      <c r="C16" s="47" t="s">
        <v>555</v>
      </c>
      <c r="D16" s="47" t="s">
        <v>567</v>
      </c>
      <c r="E16" s="47" t="s">
        <v>44</v>
      </c>
      <c r="F16" s="47"/>
      <c r="G16" s="48">
        <v>-51.48</v>
      </c>
      <c r="H16" s="47" t="s">
        <v>50</v>
      </c>
      <c r="I16" s="47" t="s">
        <v>78</v>
      </c>
      <c r="J16" s="47" t="s">
        <v>47</v>
      </c>
    </row>
    <row r="17" spans="1:10" x14ac:dyDescent="0.35">
      <c r="A17" s="47" t="s">
        <v>563</v>
      </c>
      <c r="B17" s="47" t="s">
        <v>564</v>
      </c>
      <c r="C17" s="47" t="s">
        <v>555</v>
      </c>
      <c r="D17" s="47" t="s">
        <v>565</v>
      </c>
      <c r="E17" s="47" t="s">
        <v>44</v>
      </c>
      <c r="F17" s="47"/>
      <c r="G17" s="48">
        <v>-39.67</v>
      </c>
      <c r="H17" s="47" t="s">
        <v>50</v>
      </c>
      <c r="I17" s="47" t="s">
        <v>15</v>
      </c>
      <c r="J17" s="47" t="s">
        <v>47</v>
      </c>
    </row>
    <row r="18" spans="1:10" x14ac:dyDescent="0.35">
      <c r="A18" s="47" t="s">
        <v>562</v>
      </c>
      <c r="B18" s="47" t="s">
        <v>560</v>
      </c>
      <c r="C18" s="47" t="s">
        <v>555</v>
      </c>
      <c r="D18" s="47" t="s">
        <v>197</v>
      </c>
      <c r="E18" s="47" t="s">
        <v>44</v>
      </c>
      <c r="F18" s="47"/>
      <c r="G18" s="48">
        <v>-105</v>
      </c>
      <c r="H18" s="47" t="s">
        <v>50</v>
      </c>
      <c r="I18" s="47" t="s">
        <v>19</v>
      </c>
      <c r="J18" s="47" t="s">
        <v>47</v>
      </c>
    </row>
    <row r="19" spans="1:10" x14ac:dyDescent="0.35">
      <c r="A19" s="47" t="s">
        <v>559</v>
      </c>
      <c r="B19" s="47" t="s">
        <v>560</v>
      </c>
      <c r="C19" s="47" t="s">
        <v>552</v>
      </c>
      <c r="D19" s="47" t="s">
        <v>561</v>
      </c>
      <c r="E19" s="47" t="s">
        <v>44</v>
      </c>
      <c r="F19" s="47"/>
      <c r="G19" s="48">
        <v>-25.95</v>
      </c>
      <c r="H19" s="47" t="s">
        <v>90</v>
      </c>
      <c r="I19" s="47" t="s">
        <v>106</v>
      </c>
      <c r="J19" s="47" t="s">
        <v>47</v>
      </c>
    </row>
    <row r="20" spans="1:10" x14ac:dyDescent="0.35">
      <c r="A20" s="47" t="s">
        <v>557</v>
      </c>
      <c r="B20" s="47" t="s">
        <v>555</v>
      </c>
      <c r="C20" s="47" t="s">
        <v>547</v>
      </c>
      <c r="D20" s="47" t="s">
        <v>287</v>
      </c>
      <c r="E20" s="47" t="s">
        <v>44</v>
      </c>
      <c r="F20" s="47"/>
      <c r="G20" s="48">
        <v>-47.3</v>
      </c>
      <c r="H20" s="47" t="s">
        <v>251</v>
      </c>
      <c r="I20" s="47" t="s">
        <v>288</v>
      </c>
      <c r="J20" s="47" t="s">
        <v>47</v>
      </c>
    </row>
    <row r="21" spans="1:10" x14ac:dyDescent="0.35">
      <c r="A21" s="47" t="s">
        <v>558</v>
      </c>
      <c r="B21" s="47" t="s">
        <v>555</v>
      </c>
      <c r="C21" s="47" t="s">
        <v>547</v>
      </c>
      <c r="D21" s="47" t="s">
        <v>105</v>
      </c>
      <c r="E21" s="47" t="s">
        <v>44</v>
      </c>
      <c r="F21" s="47"/>
      <c r="G21" s="48">
        <v>-29.35</v>
      </c>
      <c r="H21" s="47" t="s">
        <v>90</v>
      </c>
      <c r="I21" s="47" t="s">
        <v>106</v>
      </c>
      <c r="J21" s="47" t="s">
        <v>47</v>
      </c>
    </row>
    <row r="22" spans="1:10" x14ac:dyDescent="0.35">
      <c r="A22" s="47" t="s">
        <v>554</v>
      </c>
      <c r="B22" s="47" t="s">
        <v>555</v>
      </c>
      <c r="C22" s="47" t="s">
        <v>547</v>
      </c>
      <c r="D22" s="47" t="s">
        <v>556</v>
      </c>
      <c r="E22" s="47" t="s">
        <v>44</v>
      </c>
      <c r="F22" s="47"/>
      <c r="G22" s="48">
        <v>-20.97</v>
      </c>
      <c r="H22" s="47" t="s">
        <v>90</v>
      </c>
      <c r="I22" s="47" t="s">
        <v>106</v>
      </c>
      <c r="J22" s="47" t="s">
        <v>47</v>
      </c>
    </row>
    <row r="23" spans="1:10" x14ac:dyDescent="0.35">
      <c r="A23" s="47" t="s">
        <v>551</v>
      </c>
      <c r="B23" s="47" t="s">
        <v>552</v>
      </c>
      <c r="C23" s="47" t="s">
        <v>553</v>
      </c>
      <c r="D23" s="47" t="s">
        <v>254</v>
      </c>
      <c r="E23" s="47" t="s">
        <v>44</v>
      </c>
      <c r="F23" s="47"/>
      <c r="G23" s="48">
        <v>-25.53</v>
      </c>
      <c r="H23" s="47" t="s">
        <v>50</v>
      </c>
      <c r="I23" s="47" t="s">
        <v>15</v>
      </c>
      <c r="J23" s="47" t="s">
        <v>47</v>
      </c>
    </row>
    <row r="24" spans="1:10" x14ac:dyDescent="0.35">
      <c r="A24" s="47" t="s">
        <v>546</v>
      </c>
      <c r="B24" s="47" t="s">
        <v>547</v>
      </c>
      <c r="C24" s="47" t="s">
        <v>541</v>
      </c>
      <c r="D24" s="47" t="s">
        <v>355</v>
      </c>
      <c r="E24" s="47" t="s">
        <v>44</v>
      </c>
      <c r="F24" s="47"/>
      <c r="G24" s="48">
        <v>-51.5</v>
      </c>
      <c r="H24" s="47" t="s">
        <v>45</v>
      </c>
      <c r="I24" s="47" t="s">
        <v>46</v>
      </c>
      <c r="J24" s="47" t="s">
        <v>47</v>
      </c>
    </row>
    <row r="25" spans="1:10" x14ac:dyDescent="0.35">
      <c r="A25" s="47" t="s">
        <v>548</v>
      </c>
      <c r="B25" s="47" t="s">
        <v>547</v>
      </c>
      <c r="C25" s="47" t="s">
        <v>541</v>
      </c>
      <c r="D25" s="47" t="s">
        <v>63</v>
      </c>
      <c r="E25" s="47" t="s">
        <v>44</v>
      </c>
      <c r="F25" s="47"/>
      <c r="G25" s="48">
        <v>-30.11</v>
      </c>
      <c r="H25" s="47" t="s">
        <v>50</v>
      </c>
      <c r="I25" s="47" t="s">
        <v>15</v>
      </c>
      <c r="J25" s="47" t="s">
        <v>47</v>
      </c>
    </row>
    <row r="26" spans="1:10" x14ac:dyDescent="0.35">
      <c r="A26" s="47" t="s">
        <v>549</v>
      </c>
      <c r="B26" s="47" t="s">
        <v>547</v>
      </c>
      <c r="C26" s="47" t="s">
        <v>541</v>
      </c>
      <c r="D26" s="47" t="s">
        <v>550</v>
      </c>
      <c r="E26" s="47" t="s">
        <v>44</v>
      </c>
      <c r="F26" s="47"/>
      <c r="G26" s="48">
        <v>-19.399999999999999</v>
      </c>
      <c r="H26" s="47" t="s">
        <v>45</v>
      </c>
      <c r="I26" s="47" t="s">
        <v>46</v>
      </c>
      <c r="J26" s="47" t="s">
        <v>47</v>
      </c>
    </row>
    <row r="27" spans="1:10" x14ac:dyDescent="0.35">
      <c r="A27" s="47" t="s">
        <v>540</v>
      </c>
      <c r="B27" s="47" t="s">
        <v>541</v>
      </c>
      <c r="C27" s="47" t="s">
        <v>521</v>
      </c>
      <c r="D27" s="47" t="s">
        <v>542</v>
      </c>
      <c r="E27" s="47" t="s">
        <v>44</v>
      </c>
      <c r="F27" s="47"/>
      <c r="G27" s="48">
        <v>-23</v>
      </c>
      <c r="H27" s="47" t="s">
        <v>45</v>
      </c>
      <c r="I27" s="47" t="s">
        <v>46</v>
      </c>
      <c r="J27" s="47" t="s">
        <v>47</v>
      </c>
    </row>
    <row r="28" spans="1:10" x14ac:dyDescent="0.35">
      <c r="A28" s="47" t="s">
        <v>543</v>
      </c>
      <c r="B28" s="47" t="s">
        <v>541</v>
      </c>
      <c r="C28" s="47" t="s">
        <v>521</v>
      </c>
      <c r="D28" s="47" t="s">
        <v>544</v>
      </c>
      <c r="E28" s="47" t="s">
        <v>44</v>
      </c>
      <c r="F28" s="47"/>
      <c r="G28" s="48">
        <v>-6.2</v>
      </c>
      <c r="H28" s="47" t="s">
        <v>90</v>
      </c>
      <c r="I28" s="47" t="s">
        <v>545</v>
      </c>
      <c r="J28" s="47" t="s">
        <v>47</v>
      </c>
    </row>
    <row r="29" spans="1:10" x14ac:dyDescent="0.35">
      <c r="A29" s="47" t="s">
        <v>537</v>
      </c>
      <c r="B29" s="47" t="s">
        <v>536</v>
      </c>
      <c r="C29" s="47" t="s">
        <v>522</v>
      </c>
      <c r="D29" s="47" t="s">
        <v>538</v>
      </c>
      <c r="E29" s="47" t="s">
        <v>44</v>
      </c>
      <c r="F29" s="47"/>
      <c r="G29" s="48">
        <v>-9.99</v>
      </c>
      <c r="H29" s="47" t="s">
        <v>90</v>
      </c>
      <c r="I29" s="47" t="s">
        <v>539</v>
      </c>
      <c r="J29" s="47" t="s">
        <v>47</v>
      </c>
    </row>
    <row r="30" spans="1:10" x14ac:dyDescent="0.35">
      <c r="A30" s="47" t="s">
        <v>535</v>
      </c>
      <c r="B30" s="47" t="s">
        <v>536</v>
      </c>
      <c r="C30" s="47" t="s">
        <v>528</v>
      </c>
      <c r="D30" s="47" t="s">
        <v>63</v>
      </c>
      <c r="E30" s="47" t="s">
        <v>44</v>
      </c>
      <c r="F30" s="47"/>
      <c r="G30" s="48">
        <v>-1.5</v>
      </c>
      <c r="H30" s="47" t="s">
        <v>50</v>
      </c>
      <c r="I30" s="47" t="s">
        <v>15</v>
      </c>
      <c r="J30" s="47" t="s">
        <v>47</v>
      </c>
    </row>
    <row r="31" spans="1:10" x14ac:dyDescent="0.35">
      <c r="A31" s="47" t="s">
        <v>526</v>
      </c>
      <c r="B31" s="47" t="s">
        <v>527</v>
      </c>
      <c r="C31" s="47" t="s">
        <v>528</v>
      </c>
      <c r="D31" s="47" t="s">
        <v>529</v>
      </c>
      <c r="E31" s="47" t="s">
        <v>44</v>
      </c>
      <c r="F31" s="47"/>
      <c r="G31" s="48">
        <v>-35.5</v>
      </c>
      <c r="H31" s="47" t="s">
        <v>45</v>
      </c>
      <c r="I31" s="47" t="s">
        <v>46</v>
      </c>
      <c r="J31" s="47" t="s">
        <v>47</v>
      </c>
    </row>
    <row r="32" spans="1:10" x14ac:dyDescent="0.35">
      <c r="A32" s="47" t="s">
        <v>532</v>
      </c>
      <c r="B32" s="47" t="s">
        <v>527</v>
      </c>
      <c r="C32" s="47" t="s">
        <v>528</v>
      </c>
      <c r="D32" s="47" t="s">
        <v>533</v>
      </c>
      <c r="E32" s="47" t="s">
        <v>44</v>
      </c>
      <c r="F32" s="47"/>
      <c r="G32" s="48">
        <v>-21.9</v>
      </c>
      <c r="H32" s="47" t="s">
        <v>73</v>
      </c>
      <c r="I32" s="47" t="s">
        <v>74</v>
      </c>
      <c r="J32" s="47" t="s">
        <v>47</v>
      </c>
    </row>
    <row r="33" spans="1:10" x14ac:dyDescent="0.35">
      <c r="A33" s="47" t="s">
        <v>534</v>
      </c>
      <c r="B33" s="47" t="s">
        <v>527</v>
      </c>
      <c r="C33" s="47" t="s">
        <v>528</v>
      </c>
      <c r="D33" s="47" t="s">
        <v>63</v>
      </c>
      <c r="E33" s="47" t="s">
        <v>44</v>
      </c>
      <c r="F33" s="47"/>
      <c r="G33" s="48">
        <v>-18.72</v>
      </c>
      <c r="H33" s="47" t="s">
        <v>50</v>
      </c>
      <c r="I33" s="47" t="s">
        <v>15</v>
      </c>
      <c r="J33" s="47" t="s">
        <v>47</v>
      </c>
    </row>
    <row r="34" spans="1:10" x14ac:dyDescent="0.35">
      <c r="A34" s="47" t="s">
        <v>530</v>
      </c>
      <c r="B34" s="47" t="s">
        <v>527</v>
      </c>
      <c r="C34" s="47" t="s">
        <v>528</v>
      </c>
      <c r="D34" s="47" t="s">
        <v>531</v>
      </c>
      <c r="E34" s="47" t="s">
        <v>44</v>
      </c>
      <c r="F34" s="47"/>
      <c r="G34" s="48">
        <v>-4.2</v>
      </c>
      <c r="H34" s="47" t="s">
        <v>73</v>
      </c>
      <c r="I34" s="47" t="s">
        <v>74</v>
      </c>
      <c r="J34" s="47" t="s">
        <v>47</v>
      </c>
    </row>
    <row r="35" spans="1:10" x14ac:dyDescent="0.35">
      <c r="A35" s="47" t="s">
        <v>524</v>
      </c>
      <c r="B35" s="47" t="s">
        <v>521</v>
      </c>
      <c r="C35" s="47" t="s">
        <v>522</v>
      </c>
      <c r="D35" s="47" t="s">
        <v>525</v>
      </c>
      <c r="E35" s="47" t="s">
        <v>44</v>
      </c>
      <c r="F35" s="47"/>
      <c r="G35" s="48">
        <v>-8.6999999999999993</v>
      </c>
      <c r="H35" s="47" t="s">
        <v>90</v>
      </c>
      <c r="I35" s="47" t="s">
        <v>78</v>
      </c>
      <c r="J35" s="47" t="s">
        <v>47</v>
      </c>
    </row>
    <row r="36" spans="1:10" x14ac:dyDescent="0.35">
      <c r="A36" s="47" t="s">
        <v>520</v>
      </c>
      <c r="B36" s="47" t="s">
        <v>521</v>
      </c>
      <c r="C36" s="47" t="s">
        <v>522</v>
      </c>
      <c r="D36" s="47" t="s">
        <v>523</v>
      </c>
      <c r="E36" s="47" t="s">
        <v>44</v>
      </c>
      <c r="F36" s="47"/>
      <c r="G36" s="48">
        <v>-4</v>
      </c>
      <c r="H36" s="47" t="s">
        <v>45</v>
      </c>
      <c r="I36" s="47" t="s">
        <v>361</v>
      </c>
      <c r="J36" s="47" t="s">
        <v>47</v>
      </c>
    </row>
    <row r="37" spans="1:10" x14ac:dyDescent="0.35">
      <c r="A37" s="47" t="s">
        <v>518</v>
      </c>
      <c r="B37" s="47" t="s">
        <v>519</v>
      </c>
      <c r="C37" s="47" t="s">
        <v>519</v>
      </c>
      <c r="D37" s="47" t="s">
        <v>211</v>
      </c>
      <c r="E37" s="47" t="s">
        <v>44</v>
      </c>
      <c r="F37" s="47"/>
      <c r="G37" s="48">
        <v>2683.66</v>
      </c>
      <c r="H37" s="47" t="s">
        <v>58</v>
      </c>
      <c r="I37" s="47" t="s">
        <v>59</v>
      </c>
      <c r="J37" s="47" t="s">
        <v>60</v>
      </c>
    </row>
    <row r="38" spans="1:10" x14ac:dyDescent="0.35">
      <c r="A38" s="47" t="s">
        <v>514</v>
      </c>
      <c r="B38" s="47" t="s">
        <v>513</v>
      </c>
      <c r="C38" s="47" t="s">
        <v>59</v>
      </c>
      <c r="D38" s="47" t="s">
        <v>515</v>
      </c>
      <c r="E38" s="47" t="s">
        <v>44</v>
      </c>
      <c r="F38" s="47"/>
      <c r="G38" s="48">
        <v>-13.9</v>
      </c>
      <c r="H38" s="47" t="s">
        <v>73</v>
      </c>
      <c r="I38" s="47" t="s">
        <v>74</v>
      </c>
      <c r="J38" s="47" t="s">
        <v>47</v>
      </c>
    </row>
    <row r="39" spans="1:10" x14ac:dyDescent="0.35">
      <c r="A39" s="47" t="s">
        <v>512</v>
      </c>
      <c r="B39" s="47" t="s">
        <v>513</v>
      </c>
      <c r="C39" s="47" t="s">
        <v>59</v>
      </c>
      <c r="D39" s="47" t="s">
        <v>450</v>
      </c>
      <c r="E39" s="47" t="s">
        <v>44</v>
      </c>
      <c r="F39" s="47"/>
      <c r="G39" s="48">
        <v>-6.4</v>
      </c>
      <c r="H39" s="47" t="s">
        <v>73</v>
      </c>
      <c r="I39" s="47" t="s">
        <v>74</v>
      </c>
      <c r="J39" s="47" t="s">
        <v>47</v>
      </c>
    </row>
    <row r="40" spans="1:10" x14ac:dyDescent="0.35">
      <c r="A40" s="47" t="s">
        <v>516</v>
      </c>
      <c r="B40" s="47" t="s">
        <v>513</v>
      </c>
      <c r="C40" s="47" t="s">
        <v>59</v>
      </c>
      <c r="D40" s="47" t="s">
        <v>517</v>
      </c>
      <c r="E40" s="47" t="s">
        <v>44</v>
      </c>
      <c r="F40" s="47"/>
      <c r="G40" s="48">
        <v>-3.4</v>
      </c>
      <c r="H40" s="47" t="s">
        <v>73</v>
      </c>
      <c r="I40" s="47" t="s">
        <v>74</v>
      </c>
      <c r="J40" s="47" t="s">
        <v>47</v>
      </c>
    </row>
    <row r="41" spans="1:10" x14ac:dyDescent="0.35">
      <c r="A41" s="47" t="s">
        <v>510</v>
      </c>
      <c r="B41" s="47" t="s">
        <v>502</v>
      </c>
      <c r="C41" s="47" t="s">
        <v>502</v>
      </c>
      <c r="D41" s="47" t="s">
        <v>511</v>
      </c>
      <c r="E41" s="47" t="s">
        <v>44</v>
      </c>
      <c r="F41" s="47"/>
      <c r="G41" s="48">
        <v>-881.2</v>
      </c>
      <c r="H41" s="17" t="s">
        <v>1698</v>
      </c>
      <c r="I41" s="17" t="s">
        <v>205</v>
      </c>
      <c r="J41" s="47" t="s">
        <v>79</v>
      </c>
    </row>
    <row r="42" spans="1:10" x14ac:dyDescent="0.35">
      <c r="A42" s="47" t="s">
        <v>506</v>
      </c>
      <c r="B42" s="47" t="s">
        <v>502</v>
      </c>
      <c r="C42" s="47" t="s">
        <v>59</v>
      </c>
      <c r="D42" s="47" t="s">
        <v>507</v>
      </c>
      <c r="E42" s="47" t="s">
        <v>44</v>
      </c>
      <c r="F42" s="47"/>
      <c r="G42" s="48">
        <v>-9.9</v>
      </c>
      <c r="H42" s="47" t="s">
        <v>45</v>
      </c>
      <c r="I42" s="47" t="s">
        <v>361</v>
      </c>
      <c r="J42" s="47" t="s">
        <v>47</v>
      </c>
    </row>
    <row r="43" spans="1:10" x14ac:dyDescent="0.35">
      <c r="A43" s="47" t="s">
        <v>505</v>
      </c>
      <c r="B43" s="47" t="s">
        <v>502</v>
      </c>
      <c r="C43" s="47" t="s">
        <v>59</v>
      </c>
      <c r="D43" s="47" t="s">
        <v>63</v>
      </c>
      <c r="E43" s="47" t="s">
        <v>44</v>
      </c>
      <c r="F43" s="47"/>
      <c r="G43" s="48">
        <v>-7.19</v>
      </c>
      <c r="H43" s="47" t="s">
        <v>50</v>
      </c>
      <c r="I43" s="47" t="s">
        <v>15</v>
      </c>
      <c r="J43" s="47" t="s">
        <v>47</v>
      </c>
    </row>
    <row r="44" spans="1:10" x14ac:dyDescent="0.35">
      <c r="A44" s="47" t="s">
        <v>508</v>
      </c>
      <c r="B44" s="47" t="s">
        <v>502</v>
      </c>
      <c r="C44" s="47" t="s">
        <v>59</v>
      </c>
      <c r="D44" s="47" t="s">
        <v>509</v>
      </c>
      <c r="E44" s="47" t="s">
        <v>44</v>
      </c>
      <c r="F44" s="47"/>
      <c r="G44" s="48">
        <v>-3.5</v>
      </c>
      <c r="H44" s="47" t="s">
        <v>73</v>
      </c>
      <c r="I44" s="47" t="s">
        <v>499</v>
      </c>
      <c r="J44" s="47" t="s">
        <v>47</v>
      </c>
    </row>
    <row r="45" spans="1:10" x14ac:dyDescent="0.35">
      <c r="A45" s="47" t="s">
        <v>503</v>
      </c>
      <c r="B45" s="47" t="s">
        <v>502</v>
      </c>
      <c r="C45" s="47" t="s">
        <v>502</v>
      </c>
      <c r="D45" s="47" t="s">
        <v>504</v>
      </c>
      <c r="E45" s="47" t="s">
        <v>44</v>
      </c>
      <c r="F45" s="47"/>
      <c r="G45" s="48">
        <v>654.45000000000005</v>
      </c>
      <c r="H45" s="47" t="s">
        <v>50</v>
      </c>
      <c r="I45" s="47" t="s">
        <v>21</v>
      </c>
      <c r="J45" s="47" t="s">
        <v>60</v>
      </c>
    </row>
    <row r="46" spans="1:10" x14ac:dyDescent="0.35">
      <c r="A46" s="51" t="s">
        <v>501</v>
      </c>
      <c r="B46" s="47" t="s">
        <v>502</v>
      </c>
      <c r="C46" s="47" t="s">
        <v>502</v>
      </c>
      <c r="D46" s="51" t="s">
        <v>57</v>
      </c>
      <c r="E46" s="51" t="s">
        <v>44</v>
      </c>
      <c r="F46" s="51"/>
      <c r="G46" s="55">
        <v>1191.57</v>
      </c>
      <c r="H46" s="51" t="s">
        <v>58</v>
      </c>
      <c r="I46" s="51" t="s">
        <v>59</v>
      </c>
      <c r="J46" s="51" t="s">
        <v>60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9C9A-8D86-4F62-9B30-89B09A54556F}">
  <dimension ref="A1:B32"/>
  <sheetViews>
    <sheetView workbookViewId="0">
      <selection activeCell="A4" sqref="A4:A19"/>
    </sheetView>
  </sheetViews>
  <sheetFormatPr defaultRowHeight="12.75" x14ac:dyDescent="0.35"/>
  <cols>
    <col min="1" max="1" width="20.73046875" bestFit="1" customWidth="1"/>
    <col min="2" max="2" width="14.6640625" bestFit="1" customWidth="1"/>
  </cols>
  <sheetData>
    <row r="1" spans="1:2" x14ac:dyDescent="0.35">
      <c r="A1" s="13" t="s">
        <v>37</v>
      </c>
      <c r="B1" t="s">
        <v>500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45</v>
      </c>
      <c r="B6" s="12">
        <v>-201.6</v>
      </c>
    </row>
    <row r="7" spans="1:2" x14ac:dyDescent="0.35">
      <c r="A7" s="28" t="s">
        <v>361</v>
      </c>
      <c r="B7" s="12">
        <v>-13.9</v>
      </c>
    </row>
    <row r="8" spans="1:2" x14ac:dyDescent="0.35">
      <c r="A8" s="28" t="s">
        <v>46</v>
      </c>
      <c r="B8" s="12">
        <v>-187.7</v>
      </c>
    </row>
    <row r="9" spans="1:2" x14ac:dyDescent="0.35">
      <c r="A9" s="14" t="s">
        <v>50</v>
      </c>
      <c r="B9" s="12">
        <v>103.28999999999996</v>
      </c>
    </row>
    <row r="10" spans="1:2" x14ac:dyDescent="0.35">
      <c r="A10" s="28" t="s">
        <v>165</v>
      </c>
      <c r="B10" s="12">
        <v>-18.98</v>
      </c>
    </row>
    <row r="11" spans="1:2" x14ac:dyDescent="0.35">
      <c r="A11" s="28" t="s">
        <v>15</v>
      </c>
      <c r="B11" s="12">
        <v>-273.15000000000003</v>
      </c>
    </row>
    <row r="12" spans="1:2" x14ac:dyDescent="0.35">
      <c r="A12" s="28" t="s">
        <v>21</v>
      </c>
      <c r="B12" s="12">
        <v>654.45000000000005</v>
      </c>
    </row>
    <row r="13" spans="1:2" x14ac:dyDescent="0.35">
      <c r="A13" s="28" t="s">
        <v>78</v>
      </c>
      <c r="B13" s="12">
        <v>-51.48</v>
      </c>
    </row>
    <row r="14" spans="1:2" x14ac:dyDescent="0.35">
      <c r="A14" s="28" t="s">
        <v>19</v>
      </c>
      <c r="B14" s="12">
        <v>-207.55</v>
      </c>
    </row>
    <row r="15" spans="1:2" x14ac:dyDescent="0.35">
      <c r="A15" s="14" t="s">
        <v>58</v>
      </c>
      <c r="B15" s="12">
        <v>3875.2299999999996</v>
      </c>
    </row>
    <row r="16" spans="1:2" x14ac:dyDescent="0.35">
      <c r="A16" s="28" t="s">
        <v>59</v>
      </c>
      <c r="B16" s="12">
        <v>3875.2299999999996</v>
      </c>
    </row>
    <row r="17" spans="1:2" x14ac:dyDescent="0.35">
      <c r="A17" s="14" t="s">
        <v>251</v>
      </c>
      <c r="B17" s="12">
        <v>-47.3</v>
      </c>
    </row>
    <row r="18" spans="1:2" x14ac:dyDescent="0.35">
      <c r="A18" s="28" t="s">
        <v>288</v>
      </c>
      <c r="B18" s="12">
        <v>-47.3</v>
      </c>
    </row>
    <row r="19" spans="1:2" x14ac:dyDescent="0.35">
      <c r="A19" s="14" t="s">
        <v>90</v>
      </c>
      <c r="B19" s="12">
        <v>-305.7</v>
      </c>
    </row>
    <row r="20" spans="1:2" x14ac:dyDescent="0.35">
      <c r="A20" s="28" t="s">
        <v>106</v>
      </c>
      <c r="B20" s="12">
        <v>-120.22</v>
      </c>
    </row>
    <row r="21" spans="1:2" x14ac:dyDescent="0.35">
      <c r="A21" s="28" t="s">
        <v>539</v>
      </c>
      <c r="B21" s="12">
        <v>-9.99</v>
      </c>
    </row>
    <row r="22" spans="1:2" x14ac:dyDescent="0.35">
      <c r="A22" s="28" t="s">
        <v>570</v>
      </c>
      <c r="B22" s="12">
        <v>-13.98</v>
      </c>
    </row>
    <row r="23" spans="1:2" x14ac:dyDescent="0.35">
      <c r="A23" s="28" t="s">
        <v>590</v>
      </c>
      <c r="B23" s="12">
        <v>-102.63</v>
      </c>
    </row>
    <row r="24" spans="1:2" x14ac:dyDescent="0.35">
      <c r="A24" s="28" t="s">
        <v>545</v>
      </c>
      <c r="B24" s="12">
        <v>-6.2</v>
      </c>
    </row>
    <row r="25" spans="1:2" x14ac:dyDescent="0.35">
      <c r="A25" s="28" t="s">
        <v>78</v>
      </c>
      <c r="B25" s="12">
        <v>-52.679999999999993</v>
      </c>
    </row>
    <row r="26" spans="1:2" x14ac:dyDescent="0.35">
      <c r="A26" s="14" t="s">
        <v>73</v>
      </c>
      <c r="B26" s="12">
        <v>-1266.5999999999999</v>
      </c>
    </row>
    <row r="27" spans="1:2" x14ac:dyDescent="0.35">
      <c r="A27" s="28" t="s">
        <v>309</v>
      </c>
      <c r="B27" s="12">
        <v>-20</v>
      </c>
    </row>
    <row r="28" spans="1:2" x14ac:dyDescent="0.35">
      <c r="A28" s="28" t="s">
        <v>74</v>
      </c>
      <c r="B28" s="12">
        <v>-49.8</v>
      </c>
    </row>
    <row r="29" spans="1:2" x14ac:dyDescent="0.35">
      <c r="A29" s="28" t="s">
        <v>499</v>
      </c>
      <c r="B29" s="12">
        <v>-1196.8</v>
      </c>
    </row>
    <row r="30" spans="1:2" x14ac:dyDescent="0.35">
      <c r="A30" s="14" t="s">
        <v>1698</v>
      </c>
      <c r="B30" s="12">
        <v>-881.2</v>
      </c>
    </row>
    <row r="31" spans="1:2" x14ac:dyDescent="0.35">
      <c r="A31" s="28" t="s">
        <v>205</v>
      </c>
      <c r="B31" s="12">
        <v>-881.2</v>
      </c>
    </row>
    <row r="32" spans="1:2" x14ac:dyDescent="0.35">
      <c r="A32" s="14" t="s">
        <v>208</v>
      </c>
      <c r="B32" s="12">
        <v>1826.1199999999997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17F4-AA22-4342-B839-BBEE2DC6369E}">
  <dimension ref="A1:J60"/>
  <sheetViews>
    <sheetView workbookViewId="0">
      <selection activeCell="H18" sqref="H18"/>
    </sheetView>
  </sheetViews>
  <sheetFormatPr defaultRowHeight="12.75" x14ac:dyDescent="0.35"/>
  <cols>
    <col min="1" max="1" width="20.86328125" customWidth="1"/>
    <col min="2" max="2" width="17.3984375" customWidth="1"/>
    <col min="3" max="3" width="12.86328125" customWidth="1"/>
    <col min="4" max="4" width="115" bestFit="1" customWidth="1"/>
    <col min="6" max="6" width="9.59765625" customWidth="1"/>
    <col min="7" max="7" width="24.3984375" bestFit="1" customWidth="1"/>
    <col min="8" max="8" width="27.1328125" bestFit="1" customWidth="1"/>
    <col min="9" max="9" width="26" bestFit="1" customWidth="1"/>
  </cols>
  <sheetData>
    <row r="1" spans="1:10" ht="13.15" x14ac:dyDescent="0.4">
      <c r="A1" s="35" t="s">
        <v>31</v>
      </c>
      <c r="B1" s="36" t="s">
        <v>32</v>
      </c>
      <c r="C1" s="36" t="s">
        <v>33</v>
      </c>
      <c r="D1" s="36" t="s">
        <v>34</v>
      </c>
      <c r="E1" s="36" t="s">
        <v>35</v>
      </c>
      <c r="F1" s="36" t="s">
        <v>36</v>
      </c>
      <c r="G1" s="36" t="s">
        <v>37</v>
      </c>
      <c r="H1" s="36" t="s">
        <v>38</v>
      </c>
      <c r="I1" s="36" t="s">
        <v>39</v>
      </c>
      <c r="J1" s="37" t="s">
        <v>40</v>
      </c>
    </row>
    <row r="2" spans="1:10" x14ac:dyDescent="0.35">
      <c r="A2" s="1" t="s">
        <v>705</v>
      </c>
      <c r="B2" s="47" t="s">
        <v>701</v>
      </c>
      <c r="C2" s="47" t="s">
        <v>687</v>
      </c>
      <c r="D2" s="47" t="s">
        <v>108</v>
      </c>
      <c r="E2" s="47" t="s">
        <v>44</v>
      </c>
      <c r="F2" s="48">
        <v>-10</v>
      </c>
      <c r="G2" s="48"/>
      <c r="H2" s="48" t="s">
        <v>50</v>
      </c>
      <c r="I2" s="47" t="s">
        <v>15</v>
      </c>
      <c r="J2" s="2" t="s">
        <v>47</v>
      </c>
    </row>
    <row r="3" spans="1:10" x14ac:dyDescent="0.35">
      <c r="A3" s="33" t="s">
        <v>706</v>
      </c>
      <c r="B3" s="31" t="s">
        <v>701</v>
      </c>
      <c r="C3" s="31" t="s">
        <v>687</v>
      </c>
      <c r="D3" s="31" t="s">
        <v>707</v>
      </c>
      <c r="E3" s="31" t="s">
        <v>44</v>
      </c>
      <c r="F3" s="32">
        <v>-6</v>
      </c>
      <c r="G3" s="32"/>
      <c r="H3" s="32" t="s">
        <v>50</v>
      </c>
      <c r="I3" s="31" t="s">
        <v>15</v>
      </c>
      <c r="J3" s="34" t="s">
        <v>47</v>
      </c>
    </row>
    <row r="4" spans="1:10" x14ac:dyDescent="0.35">
      <c r="A4" s="1" t="s">
        <v>703</v>
      </c>
      <c r="B4" s="47" t="s">
        <v>701</v>
      </c>
      <c r="C4" s="47" t="s">
        <v>687</v>
      </c>
      <c r="D4" s="47" t="s">
        <v>450</v>
      </c>
      <c r="E4" s="47" t="s">
        <v>44</v>
      </c>
      <c r="F4" s="48">
        <v>-3.8</v>
      </c>
      <c r="G4" s="48"/>
      <c r="H4" s="48" t="s">
        <v>73</v>
      </c>
      <c r="I4" s="47" t="s">
        <v>74</v>
      </c>
      <c r="J4" s="2" t="s">
        <v>47</v>
      </c>
    </row>
    <row r="5" spans="1:10" x14ac:dyDescent="0.35">
      <c r="A5" s="33" t="s">
        <v>700</v>
      </c>
      <c r="B5" s="31" t="s">
        <v>701</v>
      </c>
      <c r="C5" s="31" t="s">
        <v>687</v>
      </c>
      <c r="D5" s="31" t="s">
        <v>702</v>
      </c>
      <c r="E5" s="31" t="s">
        <v>44</v>
      </c>
      <c r="F5" s="32">
        <v>-3.1</v>
      </c>
      <c r="G5" s="32"/>
      <c r="H5" s="40" t="s">
        <v>98</v>
      </c>
      <c r="I5" s="39" t="s">
        <v>124</v>
      </c>
      <c r="J5" s="34" t="s">
        <v>91</v>
      </c>
    </row>
    <row r="6" spans="1:10" x14ac:dyDescent="0.35">
      <c r="A6" s="33" t="s">
        <v>704</v>
      </c>
      <c r="B6" s="31" t="s">
        <v>701</v>
      </c>
      <c r="C6" s="31" t="s">
        <v>687</v>
      </c>
      <c r="D6" s="31" t="s">
        <v>287</v>
      </c>
      <c r="E6" s="31" t="s">
        <v>44</v>
      </c>
      <c r="F6" s="32">
        <v>-1.38</v>
      </c>
      <c r="G6" s="32"/>
      <c r="H6" s="32" t="s">
        <v>251</v>
      </c>
      <c r="I6" s="31" t="s">
        <v>288</v>
      </c>
      <c r="J6" s="34" t="s">
        <v>47</v>
      </c>
    </row>
    <row r="7" spans="1:10" x14ac:dyDescent="0.35">
      <c r="A7" s="33" t="s">
        <v>697</v>
      </c>
      <c r="B7" s="31" t="s">
        <v>696</v>
      </c>
      <c r="C7" s="31" t="s">
        <v>679</v>
      </c>
      <c r="D7" s="31" t="s">
        <v>684</v>
      </c>
      <c r="E7" s="31" t="s">
        <v>44</v>
      </c>
      <c r="F7" s="32">
        <v>-9.35</v>
      </c>
      <c r="G7" s="32"/>
      <c r="H7" s="32" t="s">
        <v>45</v>
      </c>
      <c r="I7" s="31" t="s">
        <v>46</v>
      </c>
      <c r="J7" s="34" t="s">
        <v>47</v>
      </c>
    </row>
    <row r="8" spans="1:10" x14ac:dyDescent="0.35">
      <c r="A8" s="1" t="s">
        <v>695</v>
      </c>
      <c r="B8" s="47" t="s">
        <v>696</v>
      </c>
      <c r="C8" s="47" t="s">
        <v>502</v>
      </c>
      <c r="D8" s="47" t="s">
        <v>393</v>
      </c>
      <c r="E8" s="47" t="s">
        <v>44</v>
      </c>
      <c r="F8" s="48">
        <v>-8.43</v>
      </c>
      <c r="G8" s="48"/>
      <c r="H8" s="48" t="s">
        <v>136</v>
      </c>
      <c r="I8" s="47" t="s">
        <v>394</v>
      </c>
      <c r="J8" s="2" t="s">
        <v>395</v>
      </c>
    </row>
    <row r="9" spans="1:10" x14ac:dyDescent="0.35">
      <c r="A9" s="1" t="s">
        <v>698</v>
      </c>
      <c r="B9" s="47" t="s">
        <v>696</v>
      </c>
      <c r="C9" s="47" t="s">
        <v>679</v>
      </c>
      <c r="D9" s="47" t="s">
        <v>699</v>
      </c>
      <c r="E9" s="47" t="s">
        <v>44</v>
      </c>
      <c r="F9" s="48">
        <v>-5.35</v>
      </c>
      <c r="G9" s="48" t="s">
        <v>97</v>
      </c>
      <c r="H9" s="48" t="s">
        <v>45</v>
      </c>
      <c r="I9" s="47" t="s">
        <v>361</v>
      </c>
      <c r="J9" s="2" t="s">
        <v>47</v>
      </c>
    </row>
    <row r="10" spans="1:10" x14ac:dyDescent="0.35">
      <c r="A10" s="33" t="s">
        <v>686</v>
      </c>
      <c r="B10" s="31" t="s">
        <v>687</v>
      </c>
      <c r="C10" s="31" t="s">
        <v>687</v>
      </c>
      <c r="D10" s="31" t="s">
        <v>688</v>
      </c>
      <c r="E10" s="31" t="s">
        <v>44</v>
      </c>
      <c r="F10" s="32">
        <v>-4000</v>
      </c>
      <c r="G10" s="32" t="s">
        <v>97</v>
      </c>
      <c r="H10" s="32" t="s">
        <v>98</v>
      </c>
      <c r="I10" s="31" t="s">
        <v>78</v>
      </c>
      <c r="J10" s="34" t="s">
        <v>60</v>
      </c>
    </row>
    <row r="11" spans="1:10" x14ac:dyDescent="0.35">
      <c r="A11" s="1" t="s">
        <v>689</v>
      </c>
      <c r="B11" s="47" t="s">
        <v>687</v>
      </c>
      <c r="C11" s="47" t="s">
        <v>676</v>
      </c>
      <c r="D11" s="47" t="s">
        <v>63</v>
      </c>
      <c r="E11" s="47" t="s">
        <v>44</v>
      </c>
      <c r="F11" s="48">
        <v>-23.89</v>
      </c>
      <c r="G11" s="48"/>
      <c r="H11" s="48" t="s">
        <v>50</v>
      </c>
      <c r="I11" s="47" t="s">
        <v>15</v>
      </c>
      <c r="J11" s="2" t="s">
        <v>47</v>
      </c>
    </row>
    <row r="12" spans="1:10" x14ac:dyDescent="0.35">
      <c r="A12" s="1" t="s">
        <v>692</v>
      </c>
      <c r="B12" s="47" t="s">
        <v>687</v>
      </c>
      <c r="C12" s="47" t="s">
        <v>676</v>
      </c>
      <c r="D12" s="47" t="s">
        <v>684</v>
      </c>
      <c r="E12" s="47" t="s">
        <v>44</v>
      </c>
      <c r="F12" s="48">
        <v>-9.35</v>
      </c>
      <c r="G12" s="48" t="s">
        <v>97</v>
      </c>
      <c r="H12" s="48" t="s">
        <v>45</v>
      </c>
      <c r="I12" s="47" t="s">
        <v>46</v>
      </c>
      <c r="J12" s="2" t="s">
        <v>47</v>
      </c>
    </row>
    <row r="13" spans="1:10" x14ac:dyDescent="0.35">
      <c r="A13" s="33" t="s">
        <v>693</v>
      </c>
      <c r="B13" s="31" t="s">
        <v>687</v>
      </c>
      <c r="C13" s="31" t="s">
        <v>676</v>
      </c>
      <c r="D13" s="31" t="s">
        <v>694</v>
      </c>
      <c r="E13" s="31" t="s">
        <v>44</v>
      </c>
      <c r="F13" s="32">
        <v>-3.4</v>
      </c>
      <c r="G13" s="32" t="s">
        <v>97</v>
      </c>
      <c r="H13" s="32" t="s">
        <v>45</v>
      </c>
      <c r="I13" s="31" t="s">
        <v>46</v>
      </c>
      <c r="J13" s="34" t="s">
        <v>47</v>
      </c>
    </row>
    <row r="14" spans="1:10" x14ac:dyDescent="0.35">
      <c r="A14" s="33" t="s">
        <v>690</v>
      </c>
      <c r="B14" s="31" t="s">
        <v>687</v>
      </c>
      <c r="C14" s="31" t="s">
        <v>687</v>
      </c>
      <c r="D14" s="31" t="s">
        <v>691</v>
      </c>
      <c r="E14" s="31" t="s">
        <v>44</v>
      </c>
      <c r="F14" s="32">
        <v>550</v>
      </c>
      <c r="G14" s="32"/>
      <c r="H14" s="32" t="s">
        <v>176</v>
      </c>
      <c r="I14" s="31" t="s">
        <v>59</v>
      </c>
      <c r="J14" s="34" t="s">
        <v>483</v>
      </c>
    </row>
    <row r="15" spans="1:10" x14ac:dyDescent="0.35">
      <c r="A15" s="1" t="s">
        <v>685</v>
      </c>
      <c r="B15" s="47" t="s">
        <v>679</v>
      </c>
      <c r="C15" s="47" t="s">
        <v>679</v>
      </c>
      <c r="D15" s="47" t="s">
        <v>199</v>
      </c>
      <c r="E15" s="47" t="s">
        <v>44</v>
      </c>
      <c r="F15" s="48">
        <v>-30</v>
      </c>
      <c r="G15" s="48" t="s">
        <v>97</v>
      </c>
      <c r="H15" s="48" t="s">
        <v>77</v>
      </c>
      <c r="I15" s="47" t="s">
        <v>200</v>
      </c>
      <c r="J15" s="2" t="s">
        <v>79</v>
      </c>
    </row>
    <row r="16" spans="1:10" x14ac:dyDescent="0.35">
      <c r="A16" s="1" t="s">
        <v>681</v>
      </c>
      <c r="B16" s="47" t="s">
        <v>679</v>
      </c>
      <c r="C16" s="47" t="s">
        <v>676</v>
      </c>
      <c r="D16" s="47" t="s">
        <v>682</v>
      </c>
      <c r="E16" s="47" t="s">
        <v>44</v>
      </c>
      <c r="F16" s="48">
        <v>-11</v>
      </c>
      <c r="G16" s="48"/>
      <c r="H16" s="48" t="s">
        <v>50</v>
      </c>
      <c r="I16" s="47" t="s">
        <v>15</v>
      </c>
      <c r="J16" s="2" t="s">
        <v>47</v>
      </c>
    </row>
    <row r="17" spans="1:10" x14ac:dyDescent="0.35">
      <c r="A17" s="33" t="s">
        <v>683</v>
      </c>
      <c r="B17" s="31" t="s">
        <v>679</v>
      </c>
      <c r="C17" s="31" t="s">
        <v>676</v>
      </c>
      <c r="D17" s="31" t="s">
        <v>684</v>
      </c>
      <c r="E17" s="31" t="s">
        <v>44</v>
      </c>
      <c r="F17" s="32">
        <v>-9.35</v>
      </c>
      <c r="G17" s="32"/>
      <c r="H17" s="32" t="s">
        <v>45</v>
      </c>
      <c r="I17" s="31" t="s">
        <v>46</v>
      </c>
      <c r="J17" s="34" t="s">
        <v>47</v>
      </c>
    </row>
    <row r="18" spans="1:10" x14ac:dyDescent="0.35">
      <c r="A18" s="33" t="s">
        <v>680</v>
      </c>
      <c r="B18" s="31" t="s">
        <v>679</v>
      </c>
      <c r="C18" s="31" t="s">
        <v>502</v>
      </c>
      <c r="D18" s="31" t="s">
        <v>401</v>
      </c>
      <c r="E18" s="31" t="s">
        <v>44</v>
      </c>
      <c r="F18" s="32">
        <v>-4.5</v>
      </c>
      <c r="G18" s="32"/>
      <c r="H18" s="32" t="s">
        <v>136</v>
      </c>
      <c r="I18" s="31" t="s">
        <v>402</v>
      </c>
      <c r="J18" s="34" t="s">
        <v>403</v>
      </c>
    </row>
    <row r="19" spans="1:10" x14ac:dyDescent="0.35">
      <c r="A19" s="1" t="s">
        <v>678</v>
      </c>
      <c r="B19" s="47" t="s">
        <v>679</v>
      </c>
      <c r="C19" s="47" t="s">
        <v>676</v>
      </c>
      <c r="D19" s="47" t="s">
        <v>453</v>
      </c>
      <c r="E19" s="47" t="s">
        <v>44</v>
      </c>
      <c r="F19" s="48">
        <v>-3.8</v>
      </c>
      <c r="G19" s="48"/>
      <c r="H19" s="48" t="s">
        <v>73</v>
      </c>
      <c r="I19" s="47" t="s">
        <v>74</v>
      </c>
      <c r="J19" s="2" t="s">
        <v>47</v>
      </c>
    </row>
    <row r="20" spans="1:10" x14ac:dyDescent="0.35">
      <c r="A20" s="1" t="s">
        <v>672</v>
      </c>
      <c r="B20" s="47" t="s">
        <v>673</v>
      </c>
      <c r="C20" s="47" t="s">
        <v>668</v>
      </c>
      <c r="D20" s="47" t="s">
        <v>674</v>
      </c>
      <c r="E20" s="47" t="s">
        <v>44</v>
      </c>
      <c r="F20" s="48">
        <v>-15.01</v>
      </c>
      <c r="G20" s="48"/>
      <c r="H20" s="48" t="s">
        <v>73</v>
      </c>
      <c r="I20" s="47" t="s">
        <v>309</v>
      </c>
      <c r="J20" s="2" t="s">
        <v>47</v>
      </c>
    </row>
    <row r="21" spans="1:10" x14ac:dyDescent="0.35">
      <c r="A21" s="33" t="s">
        <v>675</v>
      </c>
      <c r="B21" s="31" t="s">
        <v>673</v>
      </c>
      <c r="C21" s="31" t="s">
        <v>676</v>
      </c>
      <c r="D21" s="31" t="s">
        <v>677</v>
      </c>
      <c r="E21" s="31" t="s">
        <v>44</v>
      </c>
      <c r="F21" s="32">
        <v>-5.6</v>
      </c>
      <c r="G21" s="32"/>
      <c r="H21" s="32" t="s">
        <v>45</v>
      </c>
      <c r="I21" s="31" t="s">
        <v>46</v>
      </c>
      <c r="J21" s="34" t="s">
        <v>47</v>
      </c>
    </row>
    <row r="22" spans="1:10" x14ac:dyDescent="0.35">
      <c r="A22" s="33" t="s">
        <v>671</v>
      </c>
      <c r="B22" s="31" t="s">
        <v>668</v>
      </c>
      <c r="C22" s="31" t="s">
        <v>661</v>
      </c>
      <c r="D22" s="31" t="s">
        <v>121</v>
      </c>
      <c r="E22" s="31" t="s">
        <v>44</v>
      </c>
      <c r="F22" s="32">
        <v>-54.28</v>
      </c>
      <c r="G22" s="32"/>
      <c r="H22" s="32" t="s">
        <v>50</v>
      </c>
      <c r="I22" s="31" t="s">
        <v>15</v>
      </c>
      <c r="J22" s="34" t="s">
        <v>47</v>
      </c>
    </row>
    <row r="23" spans="1:10" x14ac:dyDescent="0.35">
      <c r="A23" s="1" t="s">
        <v>667</v>
      </c>
      <c r="B23" s="47" t="s">
        <v>668</v>
      </c>
      <c r="C23" s="47" t="s">
        <v>661</v>
      </c>
      <c r="D23" s="47" t="s">
        <v>669</v>
      </c>
      <c r="E23" s="47" t="s">
        <v>44</v>
      </c>
      <c r="F23" s="48">
        <v>-40</v>
      </c>
      <c r="G23" s="48"/>
      <c r="H23" s="48" t="s">
        <v>251</v>
      </c>
      <c r="I23" s="47" t="s">
        <v>670</v>
      </c>
      <c r="J23" s="2" t="s">
        <v>47</v>
      </c>
    </row>
    <row r="24" spans="1:10" x14ac:dyDescent="0.35">
      <c r="A24" s="33" t="s">
        <v>666</v>
      </c>
      <c r="B24" s="31" t="s">
        <v>664</v>
      </c>
      <c r="C24" s="31" t="s">
        <v>664</v>
      </c>
      <c r="D24" s="31" t="s">
        <v>488</v>
      </c>
      <c r="E24" s="31" t="s">
        <v>44</v>
      </c>
      <c r="F24" s="32">
        <v>-300</v>
      </c>
      <c r="G24" s="32" t="s">
        <v>97</v>
      </c>
      <c r="H24" s="32" t="s">
        <v>77</v>
      </c>
      <c r="I24" s="31" t="s">
        <v>78</v>
      </c>
      <c r="J24" s="34" t="s">
        <v>60</v>
      </c>
    </row>
    <row r="25" spans="1:10" x14ac:dyDescent="0.35">
      <c r="A25" s="1" t="s">
        <v>663</v>
      </c>
      <c r="B25" s="47" t="s">
        <v>664</v>
      </c>
      <c r="C25" s="47" t="s">
        <v>653</v>
      </c>
      <c r="D25" s="47" t="s">
        <v>665</v>
      </c>
      <c r="E25" s="47" t="s">
        <v>44</v>
      </c>
      <c r="F25" s="48">
        <v>-14.9</v>
      </c>
      <c r="G25" s="48"/>
      <c r="H25" s="48" t="s">
        <v>251</v>
      </c>
      <c r="I25" s="47" t="s">
        <v>288</v>
      </c>
      <c r="J25" s="2" t="s">
        <v>47</v>
      </c>
    </row>
    <row r="26" spans="1:10" x14ac:dyDescent="0.35">
      <c r="A26" s="33" t="s">
        <v>662</v>
      </c>
      <c r="B26" s="31" t="s">
        <v>661</v>
      </c>
      <c r="C26" s="31" t="s">
        <v>653</v>
      </c>
      <c r="D26" s="31" t="s">
        <v>257</v>
      </c>
      <c r="E26" s="31" t="s">
        <v>44</v>
      </c>
      <c r="F26" s="32">
        <v>-18.98</v>
      </c>
      <c r="G26" s="32"/>
      <c r="H26" s="32" t="s">
        <v>50</v>
      </c>
      <c r="I26" s="31" t="s">
        <v>165</v>
      </c>
      <c r="J26" s="34" t="s">
        <v>91</v>
      </c>
    </row>
    <row r="27" spans="1:10" x14ac:dyDescent="0.35">
      <c r="A27" s="1" t="s">
        <v>660</v>
      </c>
      <c r="B27" s="47" t="s">
        <v>661</v>
      </c>
      <c r="C27" s="47" t="s">
        <v>661</v>
      </c>
      <c r="D27" s="47" t="s">
        <v>57</v>
      </c>
      <c r="E27" s="47" t="s">
        <v>44</v>
      </c>
      <c r="F27" s="48">
        <v>322.83999999999997</v>
      </c>
      <c r="G27" s="48"/>
      <c r="H27" s="48" t="s">
        <v>58</v>
      </c>
      <c r="I27" s="47" t="s">
        <v>59</v>
      </c>
      <c r="J27" s="2" t="s">
        <v>60</v>
      </c>
    </row>
    <row r="28" spans="1:10" x14ac:dyDescent="0.35">
      <c r="A28" s="33" t="s">
        <v>657</v>
      </c>
      <c r="B28" s="31" t="s">
        <v>653</v>
      </c>
      <c r="C28" s="31" t="s">
        <v>653</v>
      </c>
      <c r="D28" s="31" t="s">
        <v>658</v>
      </c>
      <c r="E28" s="31" t="s">
        <v>44</v>
      </c>
      <c r="F28" s="32">
        <v>-124.8</v>
      </c>
      <c r="G28" s="32"/>
      <c r="H28" s="32" t="s">
        <v>136</v>
      </c>
      <c r="I28" s="31" t="s">
        <v>394</v>
      </c>
      <c r="J28" s="34" t="s">
        <v>659</v>
      </c>
    </row>
    <row r="29" spans="1:10" x14ac:dyDescent="0.35">
      <c r="A29" s="33" t="s">
        <v>655</v>
      </c>
      <c r="B29" s="31" t="s">
        <v>653</v>
      </c>
      <c r="C29" s="31" t="s">
        <v>646</v>
      </c>
      <c r="D29" s="31" t="s">
        <v>197</v>
      </c>
      <c r="E29" s="31" t="s">
        <v>44</v>
      </c>
      <c r="F29" s="32">
        <v>-94.2</v>
      </c>
      <c r="G29" s="32"/>
      <c r="H29" s="32" t="s">
        <v>50</v>
      </c>
      <c r="I29" s="47" t="s">
        <v>19</v>
      </c>
      <c r="J29" s="34" t="s">
        <v>47</v>
      </c>
    </row>
    <row r="30" spans="1:10" x14ac:dyDescent="0.35">
      <c r="A30" s="1" t="s">
        <v>652</v>
      </c>
      <c r="B30" s="47" t="s">
        <v>653</v>
      </c>
      <c r="C30" s="47" t="s">
        <v>646</v>
      </c>
      <c r="D30" s="47" t="s">
        <v>654</v>
      </c>
      <c r="E30" s="47" t="s">
        <v>44</v>
      </c>
      <c r="F30" s="48">
        <v>-60</v>
      </c>
      <c r="G30" s="48"/>
      <c r="H30" s="48" t="s">
        <v>45</v>
      </c>
      <c r="I30" s="47" t="s">
        <v>46</v>
      </c>
      <c r="J30" s="2" t="s">
        <v>47</v>
      </c>
    </row>
    <row r="31" spans="1:10" x14ac:dyDescent="0.35">
      <c r="A31" s="1" t="s">
        <v>656</v>
      </c>
      <c r="B31" s="47" t="s">
        <v>653</v>
      </c>
      <c r="C31" s="47" t="s">
        <v>646</v>
      </c>
      <c r="D31" s="47" t="s">
        <v>63</v>
      </c>
      <c r="E31" s="47" t="s">
        <v>44</v>
      </c>
      <c r="F31" s="48">
        <v>-32.979999999999997</v>
      </c>
      <c r="G31" s="48"/>
      <c r="H31" s="48" t="s">
        <v>50</v>
      </c>
      <c r="I31" s="47" t="s">
        <v>15</v>
      </c>
      <c r="J31" s="2" t="s">
        <v>47</v>
      </c>
    </row>
    <row r="32" spans="1:10" x14ac:dyDescent="0.35">
      <c r="A32" s="1" t="s">
        <v>649</v>
      </c>
      <c r="B32" s="47" t="s">
        <v>650</v>
      </c>
      <c r="C32" s="47" t="s">
        <v>643</v>
      </c>
      <c r="D32" s="47" t="s">
        <v>567</v>
      </c>
      <c r="E32" s="47" t="s">
        <v>44</v>
      </c>
      <c r="F32" s="48">
        <v>-36.4</v>
      </c>
      <c r="G32" s="48"/>
      <c r="H32" s="48" t="s">
        <v>50</v>
      </c>
      <c r="I32" s="47" t="s">
        <v>78</v>
      </c>
      <c r="J32" s="2" t="s">
        <v>47</v>
      </c>
    </row>
    <row r="33" spans="1:10" x14ac:dyDescent="0.35">
      <c r="A33" s="33" t="s">
        <v>651</v>
      </c>
      <c r="B33" s="31" t="s">
        <v>650</v>
      </c>
      <c r="C33" s="31" t="s">
        <v>643</v>
      </c>
      <c r="D33" s="31" t="s">
        <v>49</v>
      </c>
      <c r="E33" s="31" t="s">
        <v>44</v>
      </c>
      <c r="F33" s="32">
        <v>-33.4</v>
      </c>
      <c r="G33" s="32"/>
      <c r="H33" s="32" t="s">
        <v>50</v>
      </c>
      <c r="I33" s="31" t="s">
        <v>51</v>
      </c>
      <c r="J33" s="34" t="s">
        <v>47</v>
      </c>
    </row>
    <row r="34" spans="1:10" x14ac:dyDescent="0.35">
      <c r="A34" s="33" t="s">
        <v>645</v>
      </c>
      <c r="B34" s="31" t="s">
        <v>646</v>
      </c>
      <c r="C34" s="31" t="s">
        <v>646</v>
      </c>
      <c r="D34" s="31" t="s">
        <v>647</v>
      </c>
      <c r="E34" s="31" t="s">
        <v>44</v>
      </c>
      <c r="F34" s="32">
        <v>1127.82</v>
      </c>
      <c r="G34" s="32" t="s">
        <v>97</v>
      </c>
      <c r="H34" s="32" t="s">
        <v>648</v>
      </c>
      <c r="I34" s="31" t="s">
        <v>59</v>
      </c>
      <c r="J34" s="34" t="s">
        <v>60</v>
      </c>
    </row>
    <row r="35" spans="1:10" x14ac:dyDescent="0.35">
      <c r="A35" s="1" t="s">
        <v>642</v>
      </c>
      <c r="B35" s="47" t="s">
        <v>643</v>
      </c>
      <c r="C35" s="47" t="s">
        <v>643</v>
      </c>
      <c r="D35" s="47" t="s">
        <v>644</v>
      </c>
      <c r="E35" s="47" t="s">
        <v>44</v>
      </c>
      <c r="F35" s="48">
        <v>-221.04</v>
      </c>
      <c r="G35" s="48"/>
      <c r="H35" s="48" t="s">
        <v>50</v>
      </c>
      <c r="I35" s="47" t="s">
        <v>21</v>
      </c>
      <c r="J35" s="2" t="s">
        <v>79</v>
      </c>
    </row>
    <row r="36" spans="1:10" x14ac:dyDescent="0.35">
      <c r="A36" s="33" t="s">
        <v>640</v>
      </c>
      <c r="B36" s="31" t="s">
        <v>641</v>
      </c>
      <c r="C36" s="31" t="s">
        <v>638</v>
      </c>
      <c r="D36" s="31" t="s">
        <v>63</v>
      </c>
      <c r="E36" s="31" t="s">
        <v>44</v>
      </c>
      <c r="F36" s="32">
        <v>-62.53</v>
      </c>
      <c r="G36" s="32"/>
      <c r="H36" s="32" t="s">
        <v>50</v>
      </c>
      <c r="I36" s="31" t="s">
        <v>15</v>
      </c>
      <c r="J36" s="34" t="s">
        <v>47</v>
      </c>
    </row>
    <row r="37" spans="1:10" x14ac:dyDescent="0.35">
      <c r="A37" s="1" t="s">
        <v>639</v>
      </c>
      <c r="B37" s="47" t="s">
        <v>638</v>
      </c>
      <c r="C37" s="47" t="s">
        <v>636</v>
      </c>
      <c r="D37" s="47" t="s">
        <v>121</v>
      </c>
      <c r="E37" s="47" t="s">
        <v>44</v>
      </c>
      <c r="F37" s="48">
        <v>-28.86</v>
      </c>
      <c r="G37" s="48"/>
      <c r="H37" s="48" t="s">
        <v>50</v>
      </c>
      <c r="I37" s="47" t="s">
        <v>15</v>
      </c>
      <c r="J37" s="2" t="s">
        <v>47</v>
      </c>
    </row>
    <row r="38" spans="1:10" x14ac:dyDescent="0.35">
      <c r="A38" s="33" t="s">
        <v>637</v>
      </c>
      <c r="B38" s="31" t="s">
        <v>638</v>
      </c>
      <c r="C38" s="31" t="s">
        <v>636</v>
      </c>
      <c r="D38" s="31" t="s">
        <v>274</v>
      </c>
      <c r="E38" s="31" t="s">
        <v>44</v>
      </c>
      <c r="F38" s="32">
        <v>-14.5</v>
      </c>
      <c r="G38" s="32"/>
      <c r="H38" s="32" t="s">
        <v>45</v>
      </c>
      <c r="I38" s="31" t="s">
        <v>46</v>
      </c>
      <c r="J38" s="34" t="s">
        <v>47</v>
      </c>
    </row>
    <row r="39" spans="1:10" x14ac:dyDescent="0.35">
      <c r="A39" s="1" t="s">
        <v>635</v>
      </c>
      <c r="B39" s="47" t="s">
        <v>636</v>
      </c>
      <c r="C39" s="47" t="s">
        <v>626</v>
      </c>
      <c r="D39" s="47" t="s">
        <v>287</v>
      </c>
      <c r="E39" s="47" t="s">
        <v>44</v>
      </c>
      <c r="F39" s="48">
        <v>-30.5</v>
      </c>
      <c r="G39" s="48"/>
      <c r="H39" s="48" t="s">
        <v>251</v>
      </c>
      <c r="I39" s="47" t="s">
        <v>288</v>
      </c>
      <c r="J39" s="2" t="s">
        <v>47</v>
      </c>
    </row>
    <row r="40" spans="1:10" x14ac:dyDescent="0.35">
      <c r="A40" s="1" t="s">
        <v>631</v>
      </c>
      <c r="B40" s="47" t="s">
        <v>632</v>
      </c>
      <c r="C40" s="47" t="s">
        <v>610</v>
      </c>
      <c r="D40" s="47" t="s">
        <v>567</v>
      </c>
      <c r="E40" s="47" t="s">
        <v>44</v>
      </c>
      <c r="F40" s="48">
        <v>-15.85</v>
      </c>
      <c r="G40" s="48"/>
      <c r="H40" s="48" t="s">
        <v>50</v>
      </c>
      <c r="I40" s="47" t="s">
        <v>78</v>
      </c>
      <c r="J40" s="2" t="s">
        <v>47</v>
      </c>
    </row>
    <row r="41" spans="1:10" x14ac:dyDescent="0.35">
      <c r="A41" s="33" t="s">
        <v>633</v>
      </c>
      <c r="B41" s="31" t="s">
        <v>632</v>
      </c>
      <c r="C41" s="31" t="s">
        <v>610</v>
      </c>
      <c r="D41" s="31" t="s">
        <v>634</v>
      </c>
      <c r="E41" s="31" t="s">
        <v>44</v>
      </c>
      <c r="F41" s="32">
        <v>-13.8</v>
      </c>
      <c r="G41" s="32"/>
      <c r="H41" s="32" t="s">
        <v>251</v>
      </c>
      <c r="I41" s="31" t="s">
        <v>297</v>
      </c>
      <c r="J41" s="34" t="s">
        <v>47</v>
      </c>
    </row>
    <row r="42" spans="1:10" x14ac:dyDescent="0.35">
      <c r="A42" s="1" t="s">
        <v>625</v>
      </c>
      <c r="B42" s="47" t="s">
        <v>626</v>
      </c>
      <c r="C42" s="47" t="s">
        <v>610</v>
      </c>
      <c r="D42" s="47" t="s">
        <v>105</v>
      </c>
      <c r="E42" s="47" t="s">
        <v>44</v>
      </c>
      <c r="F42" s="48">
        <v>-38.5</v>
      </c>
      <c r="G42" s="48"/>
      <c r="H42" s="48" t="s">
        <v>90</v>
      </c>
      <c r="I42" s="47" t="s">
        <v>106</v>
      </c>
      <c r="J42" s="2" t="s">
        <v>47</v>
      </c>
    </row>
    <row r="43" spans="1:10" x14ac:dyDescent="0.35">
      <c r="A43" s="33" t="s">
        <v>627</v>
      </c>
      <c r="B43" s="31" t="s">
        <v>626</v>
      </c>
      <c r="C43" s="31" t="s">
        <v>610</v>
      </c>
      <c r="D43" s="31" t="s">
        <v>63</v>
      </c>
      <c r="E43" s="31" t="s">
        <v>44</v>
      </c>
      <c r="F43" s="32">
        <v>-21.83</v>
      </c>
      <c r="G43" s="32"/>
      <c r="H43" s="32" t="s">
        <v>50</v>
      </c>
      <c r="I43" s="31" t="s">
        <v>15</v>
      </c>
      <c r="J43" s="34" t="s">
        <v>47</v>
      </c>
    </row>
    <row r="44" spans="1:10" x14ac:dyDescent="0.35">
      <c r="A44" s="33" t="s">
        <v>630</v>
      </c>
      <c r="B44" s="31" t="s">
        <v>626</v>
      </c>
      <c r="C44" s="31" t="s">
        <v>626</v>
      </c>
      <c r="D44" s="31" t="s">
        <v>211</v>
      </c>
      <c r="E44" s="31" t="s">
        <v>44</v>
      </c>
      <c r="F44" s="32">
        <v>2644.16</v>
      </c>
      <c r="G44" s="32"/>
      <c r="H44" s="32" t="s">
        <v>58</v>
      </c>
      <c r="I44" s="31" t="s">
        <v>59</v>
      </c>
      <c r="J44" s="34" t="s">
        <v>60</v>
      </c>
    </row>
    <row r="45" spans="1:10" x14ac:dyDescent="0.35">
      <c r="A45" s="1" t="s">
        <v>628</v>
      </c>
      <c r="B45" s="47" t="s">
        <v>626</v>
      </c>
      <c r="C45" s="47" t="s">
        <v>626</v>
      </c>
      <c r="D45" s="47" t="s">
        <v>629</v>
      </c>
      <c r="E45" s="47" t="s">
        <v>44</v>
      </c>
      <c r="F45" s="48">
        <v>5813.61</v>
      </c>
      <c r="G45" s="48" t="s">
        <v>97</v>
      </c>
      <c r="H45" s="48" t="s">
        <v>101</v>
      </c>
      <c r="I45" s="47" t="s">
        <v>59</v>
      </c>
      <c r="J45" s="2" t="s">
        <v>60</v>
      </c>
    </row>
    <row r="46" spans="1:10" x14ac:dyDescent="0.35">
      <c r="A46" s="33" t="s">
        <v>619</v>
      </c>
      <c r="B46" s="31" t="s">
        <v>617</v>
      </c>
      <c r="C46" s="31" t="s">
        <v>610</v>
      </c>
      <c r="D46" s="31" t="s">
        <v>620</v>
      </c>
      <c r="E46" s="31" t="s">
        <v>44</v>
      </c>
      <c r="F46" s="32">
        <v>-88</v>
      </c>
      <c r="G46" s="32"/>
      <c r="H46" s="32" t="s">
        <v>45</v>
      </c>
      <c r="I46" s="31" t="s">
        <v>46</v>
      </c>
      <c r="J46" s="34" t="s">
        <v>47</v>
      </c>
    </row>
    <row r="47" spans="1:10" x14ac:dyDescent="0.35">
      <c r="A47" s="1" t="s">
        <v>621</v>
      </c>
      <c r="B47" s="47" t="s">
        <v>617</v>
      </c>
      <c r="C47" s="47" t="s">
        <v>610</v>
      </c>
      <c r="D47" s="47" t="s">
        <v>622</v>
      </c>
      <c r="E47" s="47" t="s">
        <v>44</v>
      </c>
      <c r="F47" s="48">
        <v>-73</v>
      </c>
      <c r="G47" s="48"/>
      <c r="H47" s="48" t="s">
        <v>251</v>
      </c>
      <c r="I47" s="47" t="s">
        <v>623</v>
      </c>
      <c r="J47" s="2" t="s">
        <v>47</v>
      </c>
    </row>
    <row r="48" spans="1:10" x14ac:dyDescent="0.35">
      <c r="A48" s="33" t="s">
        <v>624</v>
      </c>
      <c r="B48" s="31" t="s">
        <v>617</v>
      </c>
      <c r="C48" s="31" t="s">
        <v>610</v>
      </c>
      <c r="D48" s="31" t="s">
        <v>453</v>
      </c>
      <c r="E48" s="31" t="s">
        <v>44</v>
      </c>
      <c r="F48" s="32">
        <v>-3.8</v>
      </c>
      <c r="G48" s="32"/>
      <c r="H48" s="32" t="s">
        <v>73</v>
      </c>
      <c r="I48" s="31" t="s">
        <v>74</v>
      </c>
      <c r="J48" s="34" t="s">
        <v>47</v>
      </c>
    </row>
    <row r="49" spans="1:10" x14ac:dyDescent="0.35">
      <c r="A49" s="1" t="s">
        <v>616</v>
      </c>
      <c r="B49" s="47" t="s">
        <v>617</v>
      </c>
      <c r="C49" s="47" t="s">
        <v>610</v>
      </c>
      <c r="D49" s="47" t="s">
        <v>618</v>
      </c>
      <c r="E49" s="47" t="s">
        <v>44</v>
      </c>
      <c r="F49" s="48">
        <v>-3.1</v>
      </c>
      <c r="G49" s="48"/>
      <c r="H49" s="48" t="s">
        <v>73</v>
      </c>
      <c r="I49" s="47" t="s">
        <v>74</v>
      </c>
      <c r="J49" s="2" t="s">
        <v>47</v>
      </c>
    </row>
    <row r="50" spans="1:10" x14ac:dyDescent="0.35">
      <c r="A50" s="33" t="s">
        <v>614</v>
      </c>
      <c r="B50" s="31" t="s">
        <v>615</v>
      </c>
      <c r="C50" s="31" t="s">
        <v>604</v>
      </c>
      <c r="D50" s="31" t="s">
        <v>49</v>
      </c>
      <c r="E50" s="31" t="s">
        <v>44</v>
      </c>
      <c r="F50" s="32">
        <v>-47.25</v>
      </c>
      <c r="G50" s="32"/>
      <c r="H50" s="32" t="s">
        <v>50</v>
      </c>
      <c r="I50" s="31" t="s">
        <v>51</v>
      </c>
      <c r="J50" s="34" t="s">
        <v>47</v>
      </c>
    </row>
    <row r="51" spans="1:10" x14ac:dyDescent="0.35">
      <c r="A51" s="1" t="s">
        <v>612</v>
      </c>
      <c r="B51" s="47" t="s">
        <v>613</v>
      </c>
      <c r="C51" s="47" t="s">
        <v>604</v>
      </c>
      <c r="D51" s="47" t="s">
        <v>49</v>
      </c>
      <c r="E51" s="47" t="s">
        <v>44</v>
      </c>
      <c r="F51" s="48">
        <v>-11</v>
      </c>
      <c r="G51" s="48"/>
      <c r="H51" s="48" t="s">
        <v>50</v>
      </c>
      <c r="I51" s="47" t="s">
        <v>51</v>
      </c>
      <c r="J51" s="2" t="s">
        <v>47</v>
      </c>
    </row>
    <row r="52" spans="1:10" x14ac:dyDescent="0.35">
      <c r="A52" s="1" t="s">
        <v>609</v>
      </c>
      <c r="B52" s="47" t="s">
        <v>610</v>
      </c>
      <c r="C52" s="47" t="s">
        <v>597</v>
      </c>
      <c r="D52" s="47" t="s">
        <v>567</v>
      </c>
      <c r="E52" s="47" t="s">
        <v>44</v>
      </c>
      <c r="F52" s="48">
        <v>-56.25</v>
      </c>
      <c r="G52" s="48"/>
      <c r="H52" s="48" t="s">
        <v>50</v>
      </c>
      <c r="I52" s="47" t="s">
        <v>78</v>
      </c>
      <c r="J52" s="2" t="s">
        <v>47</v>
      </c>
    </row>
    <row r="53" spans="1:10" x14ac:dyDescent="0.35">
      <c r="A53" s="33" t="s">
        <v>611</v>
      </c>
      <c r="B53" s="31" t="s">
        <v>610</v>
      </c>
      <c r="C53" s="31" t="s">
        <v>597</v>
      </c>
      <c r="D53" s="31" t="s">
        <v>63</v>
      </c>
      <c r="E53" s="31" t="s">
        <v>44</v>
      </c>
      <c r="F53" s="32">
        <v>-10.06</v>
      </c>
      <c r="G53" s="32"/>
      <c r="H53" s="32" t="s">
        <v>50</v>
      </c>
      <c r="I53" s="31" t="s">
        <v>15</v>
      </c>
      <c r="J53" s="34" t="s">
        <v>47</v>
      </c>
    </row>
    <row r="54" spans="1:10" x14ac:dyDescent="0.35">
      <c r="A54" s="1" t="s">
        <v>606</v>
      </c>
      <c r="B54" s="47" t="s">
        <v>604</v>
      </c>
      <c r="C54" s="47" t="s">
        <v>598</v>
      </c>
      <c r="D54" s="47" t="s">
        <v>556</v>
      </c>
      <c r="E54" s="47" t="s">
        <v>44</v>
      </c>
      <c r="F54" s="48">
        <v>-45.37</v>
      </c>
      <c r="G54" s="48"/>
      <c r="H54" s="48" t="s">
        <v>90</v>
      </c>
      <c r="I54" s="47" t="s">
        <v>106</v>
      </c>
      <c r="J54" s="2" t="s">
        <v>47</v>
      </c>
    </row>
    <row r="55" spans="1:10" x14ac:dyDescent="0.35">
      <c r="A55" s="33" t="s">
        <v>607</v>
      </c>
      <c r="B55" s="31" t="s">
        <v>604</v>
      </c>
      <c r="C55" s="31" t="s">
        <v>598</v>
      </c>
      <c r="D55" s="31" t="s">
        <v>608</v>
      </c>
      <c r="E55" s="31" t="s">
        <v>44</v>
      </c>
      <c r="F55" s="32">
        <v>-29.5</v>
      </c>
      <c r="G55" s="32"/>
      <c r="H55" s="32" t="s">
        <v>251</v>
      </c>
      <c r="I55" s="31" t="s">
        <v>297</v>
      </c>
      <c r="J55" s="34" t="s">
        <v>47</v>
      </c>
    </row>
    <row r="56" spans="1:10" x14ac:dyDescent="0.35">
      <c r="A56" s="33" t="s">
        <v>603</v>
      </c>
      <c r="B56" s="31" t="s">
        <v>604</v>
      </c>
      <c r="C56" s="31" t="s">
        <v>598</v>
      </c>
      <c r="D56" s="31" t="s">
        <v>605</v>
      </c>
      <c r="E56" s="31" t="s">
        <v>44</v>
      </c>
      <c r="F56" s="32">
        <v>-14.5</v>
      </c>
      <c r="G56" s="32"/>
      <c r="H56" s="32" t="s">
        <v>50</v>
      </c>
      <c r="I56" s="31" t="s">
        <v>51</v>
      </c>
      <c r="J56" s="34" t="s">
        <v>47</v>
      </c>
    </row>
    <row r="57" spans="1:10" x14ac:dyDescent="0.35">
      <c r="A57" s="1" t="s">
        <v>601</v>
      </c>
      <c r="B57" s="47" t="s">
        <v>597</v>
      </c>
      <c r="C57" s="47" t="s">
        <v>597</v>
      </c>
      <c r="D57" s="47" t="s">
        <v>602</v>
      </c>
      <c r="E57" s="47" t="s">
        <v>44</v>
      </c>
      <c r="F57" s="48">
        <v>-881.2</v>
      </c>
      <c r="G57" s="48"/>
      <c r="H57" s="17" t="s">
        <v>1698</v>
      </c>
      <c r="I57" s="17" t="s">
        <v>205</v>
      </c>
      <c r="J57" s="2" t="s">
        <v>79</v>
      </c>
    </row>
    <row r="58" spans="1:10" x14ac:dyDescent="0.35">
      <c r="A58" s="33" t="s">
        <v>596</v>
      </c>
      <c r="B58" s="31" t="s">
        <v>597</v>
      </c>
      <c r="C58" s="31" t="s">
        <v>598</v>
      </c>
      <c r="D58" s="31" t="s">
        <v>197</v>
      </c>
      <c r="E58" s="31" t="s">
        <v>44</v>
      </c>
      <c r="F58" s="32">
        <v>-100.55</v>
      </c>
      <c r="G58" s="32"/>
      <c r="H58" s="32" t="s">
        <v>50</v>
      </c>
      <c r="I58" s="47" t="s">
        <v>19</v>
      </c>
      <c r="J58" s="34" t="s">
        <v>47</v>
      </c>
    </row>
    <row r="59" spans="1:10" x14ac:dyDescent="0.35">
      <c r="A59" s="1" t="s">
        <v>599</v>
      </c>
      <c r="B59" s="47" t="s">
        <v>597</v>
      </c>
      <c r="C59" s="47" t="s">
        <v>598</v>
      </c>
      <c r="D59" s="47" t="s">
        <v>63</v>
      </c>
      <c r="E59" s="47" t="s">
        <v>44</v>
      </c>
      <c r="F59" s="48">
        <v>-38.619999999999997</v>
      </c>
      <c r="G59" s="48"/>
      <c r="H59" s="48" t="s">
        <v>50</v>
      </c>
      <c r="I59" s="47" t="s">
        <v>15</v>
      </c>
      <c r="J59" s="2" t="s">
        <v>47</v>
      </c>
    </row>
    <row r="60" spans="1:10" x14ac:dyDescent="0.35">
      <c r="A60" s="38" t="s">
        <v>600</v>
      </c>
      <c r="B60" s="39" t="s">
        <v>597</v>
      </c>
      <c r="C60" s="39" t="s">
        <v>597</v>
      </c>
      <c r="D60" s="39" t="s">
        <v>57</v>
      </c>
      <c r="E60" s="39" t="s">
        <v>44</v>
      </c>
      <c r="F60" s="40">
        <v>1137.74</v>
      </c>
      <c r="G60" s="40"/>
      <c r="H60" s="40" t="s">
        <v>58</v>
      </c>
      <c r="I60" s="39" t="s">
        <v>59</v>
      </c>
      <c r="J60" s="41" t="s">
        <v>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8761-FDF7-4221-9494-E7376FC60028}">
  <dimension ref="A1:B34"/>
  <sheetViews>
    <sheetView workbookViewId="0">
      <selection activeCell="A26" sqref="A26"/>
    </sheetView>
  </sheetViews>
  <sheetFormatPr defaultRowHeight="12.75" x14ac:dyDescent="0.35"/>
  <cols>
    <col min="1" max="1" width="31.33203125" bestFit="1" customWidth="1"/>
    <col min="2" max="2" width="14.6640625" bestFit="1" customWidth="1"/>
  </cols>
  <sheetData>
    <row r="1" spans="1:2" x14ac:dyDescent="0.35">
      <c r="A1" s="13" t="s">
        <v>37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-3.1</v>
      </c>
    </row>
    <row r="7" spans="1:2" x14ac:dyDescent="0.35">
      <c r="A7" s="28" t="s">
        <v>124</v>
      </c>
      <c r="B7" s="12">
        <v>-3.1</v>
      </c>
    </row>
    <row r="8" spans="1:2" x14ac:dyDescent="0.35">
      <c r="A8" s="14" t="s">
        <v>45</v>
      </c>
      <c r="B8" s="12">
        <v>-186.8</v>
      </c>
    </row>
    <row r="9" spans="1:2" x14ac:dyDescent="0.35">
      <c r="A9" s="28" t="s">
        <v>46</v>
      </c>
      <c r="B9" s="12">
        <v>-186.8</v>
      </c>
    </row>
    <row r="10" spans="1:2" x14ac:dyDescent="0.35">
      <c r="A10" s="14" t="s">
        <v>50</v>
      </c>
      <c r="B10" s="12">
        <v>-949.46999999999991</v>
      </c>
    </row>
    <row r="11" spans="1:2" x14ac:dyDescent="0.35">
      <c r="A11" s="28" t="s">
        <v>165</v>
      </c>
      <c r="B11" s="12">
        <v>-18.98</v>
      </c>
    </row>
    <row r="12" spans="1:2" x14ac:dyDescent="0.35">
      <c r="A12" s="28" t="s">
        <v>15</v>
      </c>
      <c r="B12" s="12">
        <v>-300.04999999999995</v>
      </c>
    </row>
    <row r="13" spans="1:2" x14ac:dyDescent="0.35">
      <c r="A13" s="28" t="s">
        <v>21</v>
      </c>
      <c r="B13" s="12">
        <v>-221.04</v>
      </c>
    </row>
    <row r="14" spans="1:2" x14ac:dyDescent="0.35">
      <c r="A14" s="28" t="s">
        <v>51</v>
      </c>
      <c r="B14" s="12">
        <v>-106.15</v>
      </c>
    </row>
    <row r="15" spans="1:2" x14ac:dyDescent="0.35">
      <c r="A15" s="28" t="s">
        <v>78</v>
      </c>
      <c r="B15" s="12">
        <v>-108.5</v>
      </c>
    </row>
    <row r="16" spans="1:2" x14ac:dyDescent="0.35">
      <c r="A16" s="28" t="s">
        <v>19</v>
      </c>
      <c r="B16" s="12">
        <v>-194.75</v>
      </c>
    </row>
    <row r="17" spans="1:2" x14ac:dyDescent="0.35">
      <c r="A17" s="14" t="s">
        <v>58</v>
      </c>
      <c r="B17" s="12">
        <v>4104.74</v>
      </c>
    </row>
    <row r="18" spans="1:2" x14ac:dyDescent="0.35">
      <c r="A18" s="28" t="s">
        <v>59</v>
      </c>
      <c r="B18" s="12">
        <v>4104.74</v>
      </c>
    </row>
    <row r="19" spans="1:2" x14ac:dyDescent="0.35">
      <c r="A19" s="14" t="s">
        <v>251</v>
      </c>
      <c r="B19" s="12">
        <v>-203.07999999999998</v>
      </c>
    </row>
    <row r="20" spans="1:2" x14ac:dyDescent="0.35">
      <c r="A20" s="28" t="s">
        <v>670</v>
      </c>
      <c r="B20" s="12">
        <v>-40</v>
      </c>
    </row>
    <row r="21" spans="1:2" x14ac:dyDescent="0.35">
      <c r="A21" s="28" t="s">
        <v>288</v>
      </c>
      <c r="B21" s="12">
        <v>-46.78</v>
      </c>
    </row>
    <row r="22" spans="1:2" x14ac:dyDescent="0.35">
      <c r="A22" s="28" t="s">
        <v>297</v>
      </c>
      <c r="B22" s="12">
        <v>-43.3</v>
      </c>
    </row>
    <row r="23" spans="1:2" x14ac:dyDescent="0.35">
      <c r="A23" s="28" t="s">
        <v>623</v>
      </c>
      <c r="B23" s="12">
        <v>-73</v>
      </c>
    </row>
    <row r="24" spans="1:2" x14ac:dyDescent="0.35">
      <c r="A24" s="14" t="s">
        <v>90</v>
      </c>
      <c r="B24" s="12">
        <v>-83.87</v>
      </c>
    </row>
    <row r="25" spans="1:2" x14ac:dyDescent="0.35">
      <c r="A25" s="28" t="s">
        <v>106</v>
      </c>
      <c r="B25" s="12">
        <v>-83.87</v>
      </c>
    </row>
    <row r="26" spans="1:2" x14ac:dyDescent="0.35">
      <c r="A26" s="14" t="s">
        <v>136</v>
      </c>
      <c r="B26" s="12">
        <v>-137.72999999999999</v>
      </c>
    </row>
    <row r="27" spans="1:2" x14ac:dyDescent="0.35">
      <c r="A27" s="28" t="s">
        <v>394</v>
      </c>
      <c r="B27" s="12">
        <v>-133.22999999999999</v>
      </c>
    </row>
    <row r="28" spans="1:2" x14ac:dyDescent="0.35">
      <c r="A28" s="28" t="s">
        <v>402</v>
      </c>
      <c r="B28" s="12">
        <v>-4.5</v>
      </c>
    </row>
    <row r="29" spans="1:2" x14ac:dyDescent="0.35">
      <c r="A29" s="14" t="s">
        <v>73</v>
      </c>
      <c r="B29" s="12">
        <v>-29.509999999999998</v>
      </c>
    </row>
    <row r="30" spans="1:2" x14ac:dyDescent="0.35">
      <c r="A30" s="28" t="s">
        <v>309</v>
      </c>
      <c r="B30" s="12">
        <v>-15.01</v>
      </c>
    </row>
    <row r="31" spans="1:2" x14ac:dyDescent="0.35">
      <c r="A31" s="28" t="s">
        <v>74</v>
      </c>
      <c r="B31" s="12">
        <v>-14.499999999999998</v>
      </c>
    </row>
    <row r="32" spans="1:2" x14ac:dyDescent="0.35">
      <c r="A32" s="14" t="s">
        <v>1698</v>
      </c>
      <c r="B32" s="12">
        <v>-881.2</v>
      </c>
    </row>
    <row r="33" spans="1:2" x14ac:dyDescent="0.35">
      <c r="A33" s="28" t="s">
        <v>205</v>
      </c>
      <c r="B33" s="12">
        <v>-881.2</v>
      </c>
    </row>
    <row r="34" spans="1:2" x14ac:dyDescent="0.35">
      <c r="A34" s="14" t="s">
        <v>208</v>
      </c>
      <c r="B34" s="12">
        <v>2179.9799999999996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5971-811E-44E5-8C29-079EE1F27E2D}">
  <dimension ref="A1:K50"/>
  <sheetViews>
    <sheetView workbookViewId="0">
      <selection activeCell="B50" sqref="B50"/>
    </sheetView>
  </sheetViews>
  <sheetFormatPr defaultRowHeight="12.75" x14ac:dyDescent="0.35"/>
  <cols>
    <col min="1" max="1" width="20.86328125" customWidth="1"/>
    <col min="2" max="2" width="17.3984375" customWidth="1"/>
    <col min="3" max="3" width="12.86328125" customWidth="1"/>
    <col min="4" max="4" width="67.1328125" customWidth="1"/>
    <col min="6" max="8" width="9.59765625" customWidth="1"/>
    <col min="9" max="9" width="16.73046875" bestFit="1" customWidth="1"/>
    <col min="10" max="10" width="15.73046875" customWidth="1"/>
    <col min="11" max="11" width="26" bestFit="1" customWidth="1"/>
  </cols>
  <sheetData>
    <row r="1" spans="1:11" ht="13.15" x14ac:dyDescent="0.4">
      <c r="A1" s="30" t="s">
        <v>31</v>
      </c>
      <c r="B1" s="30" t="s">
        <v>32</v>
      </c>
      <c r="C1" s="30" t="s">
        <v>33</v>
      </c>
      <c r="D1" s="30" t="s">
        <v>34</v>
      </c>
      <c r="E1" s="30" t="s">
        <v>35</v>
      </c>
      <c r="F1" s="30" t="s">
        <v>36</v>
      </c>
      <c r="G1" s="30" t="s">
        <v>37</v>
      </c>
      <c r="H1" s="30" t="s">
        <v>38</v>
      </c>
      <c r="I1" s="30" t="s">
        <v>39</v>
      </c>
      <c r="J1" s="30" t="s">
        <v>40</v>
      </c>
      <c r="K1" s="30" t="s">
        <v>708</v>
      </c>
    </row>
    <row r="2" spans="1:11" x14ac:dyDescent="0.35">
      <c r="A2" s="47"/>
      <c r="B2" s="49">
        <v>45779</v>
      </c>
      <c r="C2" s="49">
        <v>45779</v>
      </c>
      <c r="D2" s="47" t="s">
        <v>602</v>
      </c>
      <c r="E2" s="47" t="s">
        <v>44</v>
      </c>
      <c r="F2" s="48">
        <v>-881.2</v>
      </c>
      <c r="G2" s="48"/>
      <c r="H2" s="48" t="s">
        <v>1698</v>
      </c>
      <c r="I2" s="47" t="s">
        <v>205</v>
      </c>
      <c r="J2" s="47"/>
      <c r="K2" s="47"/>
    </row>
    <row r="3" spans="1:11" x14ac:dyDescent="0.35">
      <c r="A3" s="47" t="s">
        <v>802</v>
      </c>
      <c r="B3" s="47" t="s">
        <v>598</v>
      </c>
      <c r="C3" s="47" t="s">
        <v>598</v>
      </c>
      <c r="D3" s="47" t="s">
        <v>803</v>
      </c>
      <c r="E3" s="47" t="s">
        <v>44</v>
      </c>
      <c r="F3" s="48">
        <v>-162.54</v>
      </c>
      <c r="G3" s="48"/>
      <c r="H3" s="48" t="s">
        <v>98</v>
      </c>
      <c r="I3" s="47" t="s">
        <v>78</v>
      </c>
      <c r="J3" s="47" t="s">
        <v>804</v>
      </c>
      <c r="K3" s="29" t="s">
        <v>713</v>
      </c>
    </row>
    <row r="4" spans="1:11" x14ac:dyDescent="0.35">
      <c r="A4" s="47" t="s">
        <v>801</v>
      </c>
      <c r="B4" s="47" t="s">
        <v>796</v>
      </c>
      <c r="C4" s="47" t="s">
        <v>796</v>
      </c>
      <c r="D4" s="47" t="s">
        <v>199</v>
      </c>
      <c r="E4" s="47" t="s">
        <v>44</v>
      </c>
      <c r="F4" s="48">
        <v>-184.26</v>
      </c>
      <c r="G4" s="48"/>
      <c r="H4" s="48" t="s">
        <v>77</v>
      </c>
      <c r="I4" s="47" t="s">
        <v>200</v>
      </c>
      <c r="J4" s="47" t="s">
        <v>79</v>
      </c>
      <c r="K4" s="29" t="s">
        <v>713</v>
      </c>
    </row>
    <row r="5" spans="1:11" x14ac:dyDescent="0.35">
      <c r="A5" s="47" t="s">
        <v>799</v>
      </c>
      <c r="B5" s="47" t="s">
        <v>796</v>
      </c>
      <c r="C5" s="47" t="s">
        <v>790</v>
      </c>
      <c r="D5" s="47" t="s">
        <v>250</v>
      </c>
      <c r="E5" s="47" t="s">
        <v>44</v>
      </c>
      <c r="F5" s="48">
        <v>-25</v>
      </c>
      <c r="G5" s="48"/>
      <c r="H5" s="47" t="s">
        <v>251</v>
      </c>
      <c r="I5" s="47" t="s">
        <v>252</v>
      </c>
      <c r="J5" s="47" t="s">
        <v>47</v>
      </c>
      <c r="K5" s="48" t="s">
        <v>713</v>
      </c>
    </row>
    <row r="6" spans="1:11" x14ac:dyDescent="0.35">
      <c r="A6" s="47" t="s">
        <v>795</v>
      </c>
      <c r="B6" s="47" t="s">
        <v>796</v>
      </c>
      <c r="C6" s="47" t="s">
        <v>790</v>
      </c>
      <c r="D6" s="47" t="s">
        <v>797</v>
      </c>
      <c r="E6" s="47" t="s">
        <v>44</v>
      </c>
      <c r="F6" s="48">
        <v>-15.32</v>
      </c>
      <c r="G6" s="48"/>
      <c r="H6" s="47" t="s">
        <v>50</v>
      </c>
      <c r="I6" s="47" t="s">
        <v>15</v>
      </c>
      <c r="J6" s="47" t="s">
        <v>47</v>
      </c>
      <c r="K6" s="48" t="s">
        <v>713</v>
      </c>
    </row>
    <row r="7" spans="1:11" x14ac:dyDescent="0.35">
      <c r="A7" s="47" t="s">
        <v>800</v>
      </c>
      <c r="B7" s="47" t="s">
        <v>796</v>
      </c>
      <c r="C7" s="47" t="s">
        <v>790</v>
      </c>
      <c r="D7" s="47" t="s">
        <v>121</v>
      </c>
      <c r="E7" s="47" t="s">
        <v>44</v>
      </c>
      <c r="F7" s="48">
        <v>-10.83</v>
      </c>
      <c r="G7" s="48"/>
      <c r="H7" s="48" t="s">
        <v>50</v>
      </c>
      <c r="I7" s="47" t="s">
        <v>15</v>
      </c>
      <c r="J7" s="47" t="s">
        <v>47</v>
      </c>
      <c r="K7" s="29" t="s">
        <v>713</v>
      </c>
    </row>
    <row r="8" spans="1:11" x14ac:dyDescent="0.35">
      <c r="A8" s="47" t="s">
        <v>798</v>
      </c>
      <c r="B8" s="47" t="s">
        <v>796</v>
      </c>
      <c r="C8" s="47" t="s">
        <v>790</v>
      </c>
      <c r="D8" s="47" t="s">
        <v>226</v>
      </c>
      <c r="E8" s="47" t="s">
        <v>44</v>
      </c>
      <c r="F8" s="48">
        <v>-1.2</v>
      </c>
      <c r="G8" s="48"/>
      <c r="H8" s="47" t="s">
        <v>73</v>
      </c>
      <c r="I8" s="47" t="s">
        <v>112</v>
      </c>
      <c r="J8" s="47" t="s">
        <v>47</v>
      </c>
      <c r="K8" s="48" t="s">
        <v>713</v>
      </c>
    </row>
    <row r="9" spans="1:11" x14ac:dyDescent="0.35">
      <c r="A9" s="47" t="s">
        <v>794</v>
      </c>
      <c r="B9" s="47" t="s">
        <v>793</v>
      </c>
      <c r="C9" s="47" t="s">
        <v>793</v>
      </c>
      <c r="D9" s="47" t="s">
        <v>731</v>
      </c>
      <c r="E9" s="47" t="s">
        <v>44</v>
      </c>
      <c r="F9" s="48">
        <v>-22.54</v>
      </c>
      <c r="G9" s="48"/>
      <c r="H9" s="47" t="s">
        <v>77</v>
      </c>
      <c r="I9" s="47" t="s">
        <v>78</v>
      </c>
      <c r="J9" s="47" t="s">
        <v>79</v>
      </c>
      <c r="K9" s="48" t="s">
        <v>713</v>
      </c>
    </row>
    <row r="10" spans="1:11" x14ac:dyDescent="0.35">
      <c r="A10" s="47" t="s">
        <v>792</v>
      </c>
      <c r="B10" s="47" t="s">
        <v>793</v>
      </c>
      <c r="C10" s="47" t="s">
        <v>786</v>
      </c>
      <c r="D10" s="47" t="s">
        <v>108</v>
      </c>
      <c r="E10" s="47" t="s">
        <v>44</v>
      </c>
      <c r="F10" s="48">
        <v>-14.6</v>
      </c>
      <c r="G10" s="48"/>
      <c r="H10" s="47" t="s">
        <v>50</v>
      </c>
      <c r="I10" s="47" t="s">
        <v>15</v>
      </c>
      <c r="J10" s="47" t="s">
        <v>47</v>
      </c>
      <c r="K10" s="48" t="s">
        <v>713</v>
      </c>
    </row>
    <row r="11" spans="1:11" x14ac:dyDescent="0.35">
      <c r="A11" s="47" t="s">
        <v>789</v>
      </c>
      <c r="B11" s="47" t="s">
        <v>790</v>
      </c>
      <c r="C11" s="47" t="s">
        <v>790</v>
      </c>
      <c r="D11" s="47" t="s">
        <v>791</v>
      </c>
      <c r="E11" s="47" t="s">
        <v>44</v>
      </c>
      <c r="F11" s="48">
        <v>550</v>
      </c>
      <c r="G11" s="48"/>
      <c r="H11" s="47" t="s">
        <v>176</v>
      </c>
      <c r="I11" s="47" t="s">
        <v>59</v>
      </c>
      <c r="J11" s="47" t="s">
        <v>483</v>
      </c>
      <c r="K11" s="48" t="s">
        <v>713</v>
      </c>
    </row>
    <row r="12" spans="1:11" x14ac:dyDescent="0.35">
      <c r="A12" s="47" t="s">
        <v>785</v>
      </c>
      <c r="B12" s="47" t="s">
        <v>786</v>
      </c>
      <c r="C12" s="47" t="s">
        <v>772</v>
      </c>
      <c r="D12" s="47" t="s">
        <v>787</v>
      </c>
      <c r="E12" s="47" t="s">
        <v>44</v>
      </c>
      <c r="F12" s="48">
        <v>-25.92</v>
      </c>
      <c r="G12" s="48"/>
      <c r="H12" s="47" t="s">
        <v>45</v>
      </c>
      <c r="I12" s="47" t="s">
        <v>46</v>
      </c>
      <c r="J12" s="47" t="s">
        <v>47</v>
      </c>
      <c r="K12" s="48" t="s">
        <v>713</v>
      </c>
    </row>
    <row r="13" spans="1:11" x14ac:dyDescent="0.35">
      <c r="A13" s="47" t="s">
        <v>788</v>
      </c>
      <c r="B13" s="47" t="s">
        <v>786</v>
      </c>
      <c r="C13" s="47" t="s">
        <v>772</v>
      </c>
      <c r="D13" s="47" t="s">
        <v>63</v>
      </c>
      <c r="E13" s="47" t="s">
        <v>44</v>
      </c>
      <c r="F13" s="48">
        <v>-6.93</v>
      </c>
      <c r="G13" s="48"/>
      <c r="H13" s="47" t="s">
        <v>50</v>
      </c>
      <c r="I13" s="47" t="s">
        <v>15</v>
      </c>
      <c r="J13" s="47" t="s">
        <v>47</v>
      </c>
      <c r="K13" s="48" t="s">
        <v>713</v>
      </c>
    </row>
    <row r="14" spans="1:11" x14ac:dyDescent="0.35">
      <c r="A14" s="47" t="s">
        <v>784</v>
      </c>
      <c r="B14" s="47" t="s">
        <v>779</v>
      </c>
      <c r="C14" s="47" t="s">
        <v>772</v>
      </c>
      <c r="D14" s="47" t="s">
        <v>287</v>
      </c>
      <c r="E14" s="47" t="s">
        <v>44</v>
      </c>
      <c r="F14" s="48">
        <v>-35.880000000000003</v>
      </c>
      <c r="G14" s="48"/>
      <c r="H14" s="47" t="s">
        <v>251</v>
      </c>
      <c r="I14" s="47" t="s">
        <v>288</v>
      </c>
      <c r="J14" s="47" t="s">
        <v>47</v>
      </c>
      <c r="K14" s="48" t="s">
        <v>713</v>
      </c>
    </row>
    <row r="15" spans="1:11" x14ac:dyDescent="0.35">
      <c r="A15" s="47" t="s">
        <v>783</v>
      </c>
      <c r="B15" s="47" t="s">
        <v>779</v>
      </c>
      <c r="C15" s="47" t="s">
        <v>772</v>
      </c>
      <c r="D15" s="47" t="s">
        <v>105</v>
      </c>
      <c r="E15" s="47" t="s">
        <v>44</v>
      </c>
      <c r="F15" s="48">
        <v>-20.47</v>
      </c>
      <c r="G15" s="48"/>
      <c r="H15" s="47" t="s">
        <v>90</v>
      </c>
      <c r="I15" s="47" t="s">
        <v>106</v>
      </c>
      <c r="J15" s="47" t="s">
        <v>47</v>
      </c>
      <c r="K15" s="48" t="s">
        <v>713</v>
      </c>
    </row>
    <row r="16" spans="1:11" x14ac:dyDescent="0.35">
      <c r="A16" s="47" t="s">
        <v>778</v>
      </c>
      <c r="B16" s="47" t="s">
        <v>779</v>
      </c>
      <c r="C16" s="47" t="s">
        <v>772</v>
      </c>
      <c r="D16" s="47" t="s">
        <v>476</v>
      </c>
      <c r="E16" s="47" t="s">
        <v>44</v>
      </c>
      <c r="F16" s="48">
        <v>-18.98</v>
      </c>
      <c r="G16" s="48"/>
      <c r="H16" s="47" t="s">
        <v>50</v>
      </c>
      <c r="I16" s="47" t="s">
        <v>165</v>
      </c>
      <c r="J16" s="47" t="s">
        <v>91</v>
      </c>
      <c r="K16" s="48" t="s">
        <v>713</v>
      </c>
    </row>
    <row r="17" spans="1:11" x14ac:dyDescent="0.35">
      <c r="A17" s="47" t="s">
        <v>781</v>
      </c>
      <c r="B17" s="47" t="s">
        <v>779</v>
      </c>
      <c r="C17" s="47" t="s">
        <v>772</v>
      </c>
      <c r="D17" s="47" t="s">
        <v>782</v>
      </c>
      <c r="E17" s="47" t="s">
        <v>44</v>
      </c>
      <c r="F17" s="48">
        <v>-12.5</v>
      </c>
      <c r="G17" s="48"/>
      <c r="H17" s="47" t="s">
        <v>251</v>
      </c>
      <c r="I17" s="47" t="s">
        <v>297</v>
      </c>
      <c r="J17" s="47" t="s">
        <v>47</v>
      </c>
      <c r="K17" s="48" t="s">
        <v>713</v>
      </c>
    </row>
    <row r="18" spans="1:11" x14ac:dyDescent="0.35">
      <c r="A18" s="47" t="s">
        <v>780</v>
      </c>
      <c r="B18" s="47" t="s">
        <v>779</v>
      </c>
      <c r="C18" s="47" t="s">
        <v>772</v>
      </c>
      <c r="D18" s="47" t="s">
        <v>121</v>
      </c>
      <c r="E18" s="47" t="s">
        <v>44</v>
      </c>
      <c r="F18" s="48">
        <v>-2.42</v>
      </c>
      <c r="G18" s="48"/>
      <c r="H18" s="47" t="s">
        <v>50</v>
      </c>
      <c r="I18" s="47" t="s">
        <v>15</v>
      </c>
      <c r="J18" s="47" t="s">
        <v>47</v>
      </c>
      <c r="K18" s="48" t="s">
        <v>713</v>
      </c>
    </row>
    <row r="19" spans="1:11" x14ac:dyDescent="0.35">
      <c r="A19" s="47" t="s">
        <v>774</v>
      </c>
      <c r="B19" s="47" t="s">
        <v>775</v>
      </c>
      <c r="C19" s="47" t="s">
        <v>769</v>
      </c>
      <c r="D19" s="47" t="s">
        <v>776</v>
      </c>
      <c r="E19" s="47" t="s">
        <v>44</v>
      </c>
      <c r="F19" s="48">
        <v>-35</v>
      </c>
      <c r="G19" s="48"/>
      <c r="H19" s="47" t="s">
        <v>45</v>
      </c>
      <c r="I19" s="47" t="s">
        <v>46</v>
      </c>
      <c r="J19" s="47" t="s">
        <v>47</v>
      </c>
      <c r="K19" s="48" t="s">
        <v>713</v>
      </c>
    </row>
    <row r="20" spans="1:11" x14ac:dyDescent="0.35">
      <c r="A20" s="47" t="s">
        <v>777</v>
      </c>
      <c r="B20" s="47" t="s">
        <v>775</v>
      </c>
      <c r="C20" s="47" t="s">
        <v>769</v>
      </c>
      <c r="D20" s="47" t="s">
        <v>707</v>
      </c>
      <c r="E20" s="47" t="s">
        <v>44</v>
      </c>
      <c r="F20" s="48">
        <v>-11.5</v>
      </c>
      <c r="G20" s="48"/>
      <c r="H20" s="47" t="s">
        <v>45</v>
      </c>
      <c r="I20" s="47" t="s">
        <v>361</v>
      </c>
      <c r="J20" s="47" t="s">
        <v>47</v>
      </c>
      <c r="K20" s="48" t="s">
        <v>713</v>
      </c>
    </row>
    <row r="21" spans="1:11" x14ac:dyDescent="0.35">
      <c r="A21" s="47" t="s">
        <v>771</v>
      </c>
      <c r="B21" s="47" t="s">
        <v>772</v>
      </c>
      <c r="C21" s="47" t="s">
        <v>761</v>
      </c>
      <c r="D21" s="47" t="s">
        <v>773</v>
      </c>
      <c r="E21" s="47" t="s">
        <v>44</v>
      </c>
      <c r="F21" s="48">
        <v>-0.9</v>
      </c>
      <c r="G21" s="48"/>
      <c r="H21" s="47" t="s">
        <v>73</v>
      </c>
      <c r="I21" s="47" t="s">
        <v>112</v>
      </c>
      <c r="J21" s="47" t="s">
        <v>47</v>
      </c>
      <c r="K21" s="48" t="s">
        <v>713</v>
      </c>
    </row>
    <row r="22" spans="1:11" x14ac:dyDescent="0.35">
      <c r="A22" s="47" t="s">
        <v>768</v>
      </c>
      <c r="B22" s="47" t="s">
        <v>769</v>
      </c>
      <c r="C22" s="47" t="s">
        <v>770</v>
      </c>
      <c r="D22" s="47" t="s">
        <v>448</v>
      </c>
      <c r="E22" s="47" t="s">
        <v>44</v>
      </c>
      <c r="F22" s="48">
        <v>-57</v>
      </c>
      <c r="G22" s="48"/>
      <c r="H22" s="47" t="s">
        <v>45</v>
      </c>
      <c r="I22" s="47" t="s">
        <v>46</v>
      </c>
      <c r="J22" s="47" t="s">
        <v>47</v>
      </c>
      <c r="K22" s="48" t="s">
        <v>713</v>
      </c>
    </row>
    <row r="23" spans="1:11" x14ac:dyDescent="0.35">
      <c r="A23" s="47" t="s">
        <v>764</v>
      </c>
      <c r="B23" s="47" t="s">
        <v>761</v>
      </c>
      <c r="C23" s="47" t="s">
        <v>761</v>
      </c>
      <c r="D23" s="47" t="s">
        <v>96</v>
      </c>
      <c r="E23" s="47" t="s">
        <v>44</v>
      </c>
      <c r="F23" s="48">
        <v>-5000</v>
      </c>
      <c r="G23" s="48" t="s">
        <v>97</v>
      </c>
      <c r="H23" s="47" t="s">
        <v>77</v>
      </c>
      <c r="I23" s="47" t="s">
        <v>765</v>
      </c>
      <c r="J23" s="47" t="s">
        <v>60</v>
      </c>
      <c r="K23" s="48" t="s">
        <v>713</v>
      </c>
    </row>
    <row r="24" spans="1:11" x14ac:dyDescent="0.35">
      <c r="A24" s="47" t="s">
        <v>762</v>
      </c>
      <c r="B24" s="47" t="s">
        <v>761</v>
      </c>
      <c r="C24" s="47" t="s">
        <v>751</v>
      </c>
      <c r="D24" s="47" t="s">
        <v>168</v>
      </c>
      <c r="E24" s="47" t="s">
        <v>44</v>
      </c>
      <c r="F24" s="48">
        <v>-135.94</v>
      </c>
      <c r="G24" s="48"/>
      <c r="H24" s="47" t="s">
        <v>90</v>
      </c>
      <c r="I24" s="47" t="s">
        <v>570</v>
      </c>
      <c r="J24" s="47" t="s">
        <v>47</v>
      </c>
      <c r="K24" s="48" t="s">
        <v>713</v>
      </c>
    </row>
    <row r="25" spans="1:11" x14ac:dyDescent="0.35">
      <c r="A25" s="47" t="s">
        <v>763</v>
      </c>
      <c r="B25" s="47" t="s">
        <v>761</v>
      </c>
      <c r="C25" s="47" t="s">
        <v>751</v>
      </c>
      <c r="D25" s="47" t="s">
        <v>431</v>
      </c>
      <c r="E25" s="47" t="s">
        <v>44</v>
      </c>
      <c r="F25" s="48">
        <v>-35.1</v>
      </c>
      <c r="G25" s="48"/>
      <c r="H25" s="47" t="s">
        <v>251</v>
      </c>
      <c r="I25" s="47" t="s">
        <v>288</v>
      </c>
      <c r="J25" s="47" t="s">
        <v>47</v>
      </c>
      <c r="K25" s="48" t="s">
        <v>713</v>
      </c>
    </row>
    <row r="26" spans="1:11" x14ac:dyDescent="0.35">
      <c r="A26" s="47" t="s">
        <v>760</v>
      </c>
      <c r="B26" s="47" t="s">
        <v>761</v>
      </c>
      <c r="C26" s="47" t="s">
        <v>752</v>
      </c>
      <c r="D26" s="47" t="s">
        <v>89</v>
      </c>
      <c r="E26" s="47" t="s">
        <v>44</v>
      </c>
      <c r="F26" s="48">
        <v>-20.309999999999999</v>
      </c>
      <c r="G26" s="48"/>
      <c r="H26" s="47" t="s">
        <v>90</v>
      </c>
      <c r="I26" s="47" t="s">
        <v>78</v>
      </c>
      <c r="J26" s="47" t="s">
        <v>91</v>
      </c>
      <c r="K26" s="48" t="s">
        <v>713</v>
      </c>
    </row>
    <row r="27" spans="1:11" x14ac:dyDescent="0.35">
      <c r="A27" s="47" t="s">
        <v>766</v>
      </c>
      <c r="B27" s="47" t="s">
        <v>761</v>
      </c>
      <c r="C27" s="47" t="s">
        <v>761</v>
      </c>
      <c r="D27" s="47" t="s">
        <v>767</v>
      </c>
      <c r="E27" s="47" t="s">
        <v>44</v>
      </c>
      <c r="F27" s="48">
        <v>500</v>
      </c>
      <c r="G27" s="48"/>
      <c r="H27" s="47" t="s">
        <v>101</v>
      </c>
      <c r="I27" s="47" t="s">
        <v>59</v>
      </c>
      <c r="J27" s="47" t="s">
        <v>60</v>
      </c>
      <c r="K27" s="48" t="s">
        <v>713</v>
      </c>
    </row>
    <row r="28" spans="1:11" x14ac:dyDescent="0.35">
      <c r="A28" s="47" t="s">
        <v>759</v>
      </c>
      <c r="B28" s="47" t="s">
        <v>751</v>
      </c>
      <c r="C28" s="47" t="s">
        <v>752</v>
      </c>
      <c r="D28" s="47" t="s">
        <v>472</v>
      </c>
      <c r="E28" s="47" t="s">
        <v>44</v>
      </c>
      <c r="F28" s="48">
        <v>-117.7</v>
      </c>
      <c r="G28" s="48"/>
      <c r="H28" s="47" t="s">
        <v>50</v>
      </c>
      <c r="I28" s="47" t="s">
        <v>19</v>
      </c>
      <c r="J28" s="47" t="s">
        <v>47</v>
      </c>
      <c r="K28" s="48" t="s">
        <v>713</v>
      </c>
    </row>
    <row r="29" spans="1:11" x14ac:dyDescent="0.35">
      <c r="A29" s="47" t="s">
        <v>758</v>
      </c>
      <c r="B29" s="47" t="s">
        <v>751</v>
      </c>
      <c r="C29" s="47" t="s">
        <v>752</v>
      </c>
      <c r="D29" s="47" t="s">
        <v>254</v>
      </c>
      <c r="E29" s="47" t="s">
        <v>44</v>
      </c>
      <c r="F29" s="48">
        <v>-70.16</v>
      </c>
      <c r="G29" s="48"/>
      <c r="H29" s="47" t="s">
        <v>50</v>
      </c>
      <c r="I29" s="47" t="s">
        <v>15</v>
      </c>
      <c r="J29" s="47" t="s">
        <v>47</v>
      </c>
      <c r="K29" s="48" t="s">
        <v>713</v>
      </c>
    </row>
    <row r="30" spans="1:11" x14ac:dyDescent="0.35">
      <c r="A30" s="47" t="s">
        <v>756</v>
      </c>
      <c r="B30" s="47" t="s">
        <v>751</v>
      </c>
      <c r="C30" s="47" t="s">
        <v>752</v>
      </c>
      <c r="D30" s="47" t="s">
        <v>757</v>
      </c>
      <c r="E30" s="47" t="s">
        <v>44</v>
      </c>
      <c r="F30" s="48">
        <v>-17.75</v>
      </c>
      <c r="G30" s="48"/>
      <c r="H30" s="47" t="s">
        <v>45</v>
      </c>
      <c r="I30" s="47" t="s">
        <v>46</v>
      </c>
      <c r="J30" s="47" t="s">
        <v>47</v>
      </c>
      <c r="K30" s="48" t="s">
        <v>713</v>
      </c>
    </row>
    <row r="31" spans="1:11" x14ac:dyDescent="0.35">
      <c r="A31" s="47" t="s">
        <v>750</v>
      </c>
      <c r="B31" s="47" t="s">
        <v>751</v>
      </c>
      <c r="C31" s="47" t="s">
        <v>752</v>
      </c>
      <c r="D31" s="47" t="s">
        <v>753</v>
      </c>
      <c r="E31" s="47" t="s">
        <v>44</v>
      </c>
      <c r="F31" s="48">
        <v>-10</v>
      </c>
      <c r="G31" s="48"/>
      <c r="H31" s="47" t="s">
        <v>98</v>
      </c>
      <c r="I31" s="47" t="s">
        <v>754</v>
      </c>
      <c r="J31" s="47" t="s">
        <v>47</v>
      </c>
      <c r="K31" s="47" t="s">
        <v>755</v>
      </c>
    </row>
    <row r="32" spans="1:11" x14ac:dyDescent="0.35">
      <c r="A32" s="47" t="s">
        <v>745</v>
      </c>
      <c r="B32" s="47" t="s">
        <v>746</v>
      </c>
      <c r="C32" s="47" t="s">
        <v>747</v>
      </c>
      <c r="D32" s="47" t="s">
        <v>748</v>
      </c>
      <c r="E32" s="47" t="s">
        <v>44</v>
      </c>
      <c r="F32" s="48">
        <v>-31.07</v>
      </c>
      <c r="G32" s="48"/>
      <c r="H32" s="47" t="s">
        <v>73</v>
      </c>
      <c r="I32" s="47" t="s">
        <v>309</v>
      </c>
      <c r="J32" s="47" t="s">
        <v>47</v>
      </c>
      <c r="K32" s="48" t="s">
        <v>713</v>
      </c>
    </row>
    <row r="33" spans="1:11" x14ac:dyDescent="0.35">
      <c r="A33" s="47" t="s">
        <v>749</v>
      </c>
      <c r="B33" s="47" t="s">
        <v>746</v>
      </c>
      <c r="C33" s="47" t="s">
        <v>747</v>
      </c>
      <c r="D33" s="47" t="s">
        <v>108</v>
      </c>
      <c r="E33" s="47" t="s">
        <v>44</v>
      </c>
      <c r="F33" s="48">
        <v>-7.99</v>
      </c>
      <c r="G33" s="48"/>
      <c r="H33" s="47" t="s">
        <v>50</v>
      </c>
      <c r="I33" s="47" t="s">
        <v>15</v>
      </c>
      <c r="J33" s="47" t="s">
        <v>47</v>
      </c>
      <c r="K33" s="48" t="s">
        <v>713</v>
      </c>
    </row>
    <row r="34" spans="1:11" x14ac:dyDescent="0.35">
      <c r="A34" s="47" t="s">
        <v>743</v>
      </c>
      <c r="B34" s="47" t="s">
        <v>744</v>
      </c>
      <c r="C34" s="47" t="s">
        <v>741</v>
      </c>
      <c r="D34" s="47" t="s">
        <v>121</v>
      </c>
      <c r="E34" s="47" t="s">
        <v>44</v>
      </c>
      <c r="F34" s="48">
        <v>-91.21</v>
      </c>
      <c r="G34" s="48"/>
      <c r="H34" s="47" t="s">
        <v>50</v>
      </c>
      <c r="I34" s="47" t="s">
        <v>15</v>
      </c>
      <c r="J34" s="47" t="s">
        <v>47</v>
      </c>
      <c r="K34" s="48" t="s">
        <v>713</v>
      </c>
    </row>
    <row r="35" spans="1:11" x14ac:dyDescent="0.35">
      <c r="A35" s="47" t="s">
        <v>740</v>
      </c>
      <c r="B35" s="47" t="s">
        <v>741</v>
      </c>
      <c r="C35" s="47" t="s">
        <v>727</v>
      </c>
      <c r="D35" s="47" t="s">
        <v>742</v>
      </c>
      <c r="E35" s="47" t="s">
        <v>44</v>
      </c>
      <c r="F35" s="48">
        <v>-381.22</v>
      </c>
      <c r="G35" s="48"/>
      <c r="H35" s="47" t="s">
        <v>77</v>
      </c>
      <c r="I35" s="47" t="s">
        <v>78</v>
      </c>
      <c r="J35" s="47" t="s">
        <v>91</v>
      </c>
      <c r="K35" s="48" t="s">
        <v>713</v>
      </c>
    </row>
    <row r="36" spans="1:11" x14ac:dyDescent="0.35">
      <c r="A36" s="47" t="s">
        <v>738</v>
      </c>
      <c r="B36" s="47" t="s">
        <v>739</v>
      </c>
      <c r="C36" s="47" t="s">
        <v>727</v>
      </c>
      <c r="D36" s="47" t="s">
        <v>63</v>
      </c>
      <c r="E36" s="47" t="s">
        <v>44</v>
      </c>
      <c r="F36" s="48">
        <v>-6.41</v>
      </c>
      <c r="G36" s="48"/>
      <c r="H36" s="47" t="s">
        <v>50</v>
      </c>
      <c r="I36" s="47" t="s">
        <v>15</v>
      </c>
      <c r="J36" s="47" t="s">
        <v>47</v>
      </c>
      <c r="K36" s="48" t="s">
        <v>713</v>
      </c>
    </row>
    <row r="37" spans="1:11" x14ac:dyDescent="0.35">
      <c r="A37" s="47" t="s">
        <v>735</v>
      </c>
      <c r="B37" s="47" t="s">
        <v>736</v>
      </c>
      <c r="C37" s="47" t="s">
        <v>727</v>
      </c>
      <c r="D37" s="47" t="s">
        <v>737</v>
      </c>
      <c r="E37" s="47" t="s">
        <v>44</v>
      </c>
      <c r="F37" s="48">
        <v>-26</v>
      </c>
      <c r="G37" s="48"/>
      <c r="H37" s="47" t="s">
        <v>50</v>
      </c>
      <c r="I37" s="47" t="s">
        <v>15</v>
      </c>
      <c r="J37" s="47" t="s">
        <v>47</v>
      </c>
      <c r="K37" s="48" t="s">
        <v>713</v>
      </c>
    </row>
    <row r="38" spans="1:11" x14ac:dyDescent="0.35">
      <c r="A38" s="47" t="s">
        <v>732</v>
      </c>
      <c r="B38" s="47" t="s">
        <v>733</v>
      </c>
      <c r="C38" s="47" t="s">
        <v>734</v>
      </c>
      <c r="D38" s="47" t="s">
        <v>86</v>
      </c>
      <c r="E38" s="47" t="s">
        <v>44</v>
      </c>
      <c r="F38" s="48">
        <v>-170.1</v>
      </c>
      <c r="G38" s="48"/>
      <c r="H38" s="47" t="s">
        <v>50</v>
      </c>
      <c r="I38" s="47" t="s">
        <v>19</v>
      </c>
      <c r="J38" s="47" t="s">
        <v>47</v>
      </c>
      <c r="K38" s="48" t="s">
        <v>713</v>
      </c>
    </row>
    <row r="39" spans="1:11" x14ac:dyDescent="0.35">
      <c r="A39" s="47" t="s">
        <v>730</v>
      </c>
      <c r="B39" s="47" t="s">
        <v>727</v>
      </c>
      <c r="C39" s="47" t="s">
        <v>727</v>
      </c>
      <c r="D39" s="47" t="s">
        <v>731</v>
      </c>
      <c r="E39" s="47" t="s">
        <v>44</v>
      </c>
      <c r="F39" s="48">
        <v>-29.5</v>
      </c>
      <c r="G39" s="48"/>
      <c r="H39" s="47" t="s">
        <v>77</v>
      </c>
      <c r="I39" s="47" t="s">
        <v>78</v>
      </c>
      <c r="J39" s="47" t="s">
        <v>79</v>
      </c>
      <c r="K39" s="48" t="s">
        <v>713</v>
      </c>
    </row>
    <row r="40" spans="1:11" x14ac:dyDescent="0.35">
      <c r="A40" s="47" t="s">
        <v>726</v>
      </c>
      <c r="B40" s="47" t="s">
        <v>727</v>
      </c>
      <c r="C40" s="47" t="s">
        <v>724</v>
      </c>
      <c r="D40" s="47" t="s">
        <v>728</v>
      </c>
      <c r="E40" s="47" t="s">
        <v>44</v>
      </c>
      <c r="F40" s="48">
        <v>-19.5</v>
      </c>
      <c r="G40" s="48"/>
      <c r="H40" s="47" t="s">
        <v>45</v>
      </c>
      <c r="I40" s="47" t="s">
        <v>46</v>
      </c>
      <c r="J40" s="47" t="s">
        <v>47</v>
      </c>
      <c r="K40" s="48" t="s">
        <v>713</v>
      </c>
    </row>
    <row r="41" spans="1:11" x14ac:dyDescent="0.35">
      <c r="A41" s="47" t="s">
        <v>729</v>
      </c>
      <c r="B41" s="47" t="s">
        <v>727</v>
      </c>
      <c r="C41" s="47" t="s">
        <v>727</v>
      </c>
      <c r="D41" s="47" t="s">
        <v>211</v>
      </c>
      <c r="E41" s="47" t="s">
        <v>44</v>
      </c>
      <c r="F41" s="48">
        <v>2774.79</v>
      </c>
      <c r="G41" s="48"/>
      <c r="H41" s="47" t="s">
        <v>58</v>
      </c>
      <c r="I41" s="47" t="s">
        <v>59</v>
      </c>
      <c r="J41" s="47" t="s">
        <v>60</v>
      </c>
      <c r="K41" s="48" t="s">
        <v>713</v>
      </c>
    </row>
    <row r="42" spans="1:11" x14ac:dyDescent="0.35">
      <c r="A42" s="47" t="s">
        <v>725</v>
      </c>
      <c r="B42" s="47" t="s">
        <v>724</v>
      </c>
      <c r="C42" s="47" t="s">
        <v>711</v>
      </c>
      <c r="D42" s="47" t="s">
        <v>250</v>
      </c>
      <c r="E42" s="47" t="s">
        <v>44</v>
      </c>
      <c r="F42" s="48">
        <v>-108</v>
      </c>
      <c r="G42" s="48"/>
      <c r="H42" s="47" t="s">
        <v>251</v>
      </c>
      <c r="I42" s="47" t="s">
        <v>252</v>
      </c>
      <c r="J42" s="47" t="s">
        <v>47</v>
      </c>
      <c r="K42" s="48" t="s">
        <v>713</v>
      </c>
    </row>
    <row r="43" spans="1:11" x14ac:dyDescent="0.35">
      <c r="A43" s="47" t="s">
        <v>723</v>
      </c>
      <c r="B43" s="47" t="s">
        <v>724</v>
      </c>
      <c r="C43" s="47" t="s">
        <v>711</v>
      </c>
      <c r="D43" s="47" t="s">
        <v>226</v>
      </c>
      <c r="E43" s="47" t="s">
        <v>44</v>
      </c>
      <c r="F43" s="48">
        <v>-1</v>
      </c>
      <c r="G43" s="48"/>
      <c r="H43" s="47" t="s">
        <v>73</v>
      </c>
      <c r="I43" s="47" t="s">
        <v>112</v>
      </c>
      <c r="J43" s="47" t="s">
        <v>47</v>
      </c>
      <c r="K43" s="48" t="s">
        <v>713</v>
      </c>
    </row>
    <row r="44" spans="1:11" x14ac:dyDescent="0.35">
      <c r="A44" s="47" t="s">
        <v>720</v>
      </c>
      <c r="B44" s="47" t="s">
        <v>721</v>
      </c>
      <c r="C44" s="47" t="s">
        <v>711</v>
      </c>
      <c r="D44" s="47" t="s">
        <v>669</v>
      </c>
      <c r="E44" s="47" t="s">
        <v>44</v>
      </c>
      <c r="F44" s="48">
        <v>-16</v>
      </c>
      <c r="G44" s="48"/>
      <c r="H44" s="47" t="s">
        <v>251</v>
      </c>
      <c r="I44" s="47" t="s">
        <v>670</v>
      </c>
      <c r="J44" s="47" t="s">
        <v>47</v>
      </c>
      <c r="K44" s="48" t="s">
        <v>713</v>
      </c>
    </row>
    <row r="45" spans="1:11" x14ac:dyDescent="0.35">
      <c r="A45" s="47" t="s">
        <v>722</v>
      </c>
      <c r="B45" s="47" t="s">
        <v>721</v>
      </c>
      <c r="C45" s="47" t="s">
        <v>721</v>
      </c>
      <c r="D45" s="47" t="s">
        <v>57</v>
      </c>
      <c r="E45" s="47" t="s">
        <v>44</v>
      </c>
      <c r="F45" s="48">
        <v>1200.1300000000001</v>
      </c>
      <c r="G45" s="48"/>
      <c r="H45" s="47" t="s">
        <v>58</v>
      </c>
      <c r="I45" s="47" t="s">
        <v>59</v>
      </c>
      <c r="J45" s="47" t="s">
        <v>60</v>
      </c>
      <c r="K45" s="48" t="s">
        <v>713</v>
      </c>
    </row>
    <row r="46" spans="1:11" x14ac:dyDescent="0.35">
      <c r="A46" s="47" t="s">
        <v>716</v>
      </c>
      <c r="B46" s="47" t="s">
        <v>710</v>
      </c>
      <c r="C46" s="47" t="s">
        <v>711</v>
      </c>
      <c r="D46" s="47" t="s">
        <v>717</v>
      </c>
      <c r="E46" s="47" t="s">
        <v>44</v>
      </c>
      <c r="F46" s="48">
        <v>-22.3</v>
      </c>
      <c r="G46" s="48"/>
      <c r="H46" s="47" t="s">
        <v>45</v>
      </c>
      <c r="I46" s="47" t="s">
        <v>46</v>
      </c>
      <c r="J46" s="47" t="s">
        <v>47</v>
      </c>
      <c r="K46" s="48" t="s">
        <v>713</v>
      </c>
    </row>
    <row r="47" spans="1:11" x14ac:dyDescent="0.35">
      <c r="A47" s="1" t="s">
        <v>715</v>
      </c>
      <c r="B47" s="47" t="s">
        <v>710</v>
      </c>
      <c r="C47" s="47" t="s">
        <v>711</v>
      </c>
      <c r="D47" s="47" t="s">
        <v>712</v>
      </c>
      <c r="E47" s="47" t="s">
        <v>44</v>
      </c>
      <c r="F47" s="48">
        <v>-8</v>
      </c>
      <c r="G47" s="48"/>
      <c r="H47" s="47" t="s">
        <v>45</v>
      </c>
      <c r="I47" s="47" t="s">
        <v>46</v>
      </c>
      <c r="J47" s="47" t="s">
        <v>47</v>
      </c>
      <c r="K47" s="48" t="s">
        <v>713</v>
      </c>
    </row>
    <row r="48" spans="1:11" x14ac:dyDescent="0.35">
      <c r="A48" s="1" t="s">
        <v>709</v>
      </c>
      <c r="B48" s="47" t="s">
        <v>710</v>
      </c>
      <c r="C48" s="47" t="s">
        <v>711</v>
      </c>
      <c r="D48" s="47" t="s">
        <v>712</v>
      </c>
      <c r="E48" s="47" t="s">
        <v>44</v>
      </c>
      <c r="F48" s="48">
        <v>-3.1</v>
      </c>
      <c r="G48" s="48"/>
      <c r="H48" s="47" t="s">
        <v>45</v>
      </c>
      <c r="I48" s="47" t="s">
        <v>46</v>
      </c>
      <c r="J48" s="47" t="s">
        <v>47</v>
      </c>
      <c r="K48" s="48" t="s">
        <v>713</v>
      </c>
    </row>
    <row r="49" spans="1:11" x14ac:dyDescent="0.35">
      <c r="A49" s="1" t="s">
        <v>718</v>
      </c>
      <c r="B49" s="47" t="s">
        <v>710</v>
      </c>
      <c r="C49" s="47" t="s">
        <v>711</v>
      </c>
      <c r="D49" s="47" t="s">
        <v>719</v>
      </c>
      <c r="E49" s="47" t="s">
        <v>44</v>
      </c>
      <c r="F49" s="48">
        <v>-2.8</v>
      </c>
      <c r="G49" s="48"/>
      <c r="H49" s="47" t="s">
        <v>73</v>
      </c>
      <c r="I49" s="47" t="s">
        <v>74</v>
      </c>
      <c r="J49" s="47" t="s">
        <v>47</v>
      </c>
      <c r="K49" s="48" t="s">
        <v>713</v>
      </c>
    </row>
    <row r="50" spans="1:11" x14ac:dyDescent="0.35">
      <c r="A50" s="6" t="s">
        <v>714</v>
      </c>
      <c r="B50" s="7" t="s">
        <v>710</v>
      </c>
      <c r="C50" s="7" t="s">
        <v>711</v>
      </c>
      <c r="D50" s="7" t="s">
        <v>424</v>
      </c>
      <c r="E50" s="7" t="s">
        <v>44</v>
      </c>
      <c r="F50" s="10">
        <v>-2.2000000000000002</v>
      </c>
      <c r="G50" s="10"/>
      <c r="H50" s="7" t="s">
        <v>73</v>
      </c>
      <c r="I50" s="7" t="s">
        <v>74</v>
      </c>
      <c r="J50" s="7" t="s">
        <v>47</v>
      </c>
      <c r="K50" s="10" t="s">
        <v>713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E5AE-54C1-4B53-A2F8-E232C9283284}">
  <dimension ref="A1:B38"/>
  <sheetViews>
    <sheetView workbookViewId="0">
      <selection activeCell="B20" sqref="B20"/>
    </sheetView>
  </sheetViews>
  <sheetFormatPr defaultRowHeight="12.75" x14ac:dyDescent="0.35"/>
  <cols>
    <col min="1" max="1" width="22" bestFit="1" customWidth="1"/>
    <col min="2" max="2" width="14.6640625" bestFit="1" customWidth="1"/>
  </cols>
  <sheetData>
    <row r="1" spans="1:2" x14ac:dyDescent="0.35">
      <c r="A1" s="13" t="s">
        <v>37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-172.54</v>
      </c>
    </row>
    <row r="7" spans="1:2" x14ac:dyDescent="0.35">
      <c r="A7" s="28" t="s">
        <v>754</v>
      </c>
      <c r="B7" s="12">
        <v>-10</v>
      </c>
    </row>
    <row r="8" spans="1:2" x14ac:dyDescent="0.35">
      <c r="A8" s="28" t="s">
        <v>78</v>
      </c>
      <c r="B8" s="12">
        <v>-162.54</v>
      </c>
    </row>
    <row r="9" spans="1:2" x14ac:dyDescent="0.35">
      <c r="A9" s="14" t="s">
        <v>45</v>
      </c>
      <c r="B9" s="12">
        <v>-200.07000000000002</v>
      </c>
    </row>
    <row r="10" spans="1:2" x14ac:dyDescent="0.35">
      <c r="A10" s="28" t="s">
        <v>361</v>
      </c>
      <c r="B10" s="12">
        <v>-11.5</v>
      </c>
    </row>
    <row r="11" spans="1:2" x14ac:dyDescent="0.35">
      <c r="A11" s="28" t="s">
        <v>46</v>
      </c>
      <c r="B11" s="12">
        <v>-188.57000000000002</v>
      </c>
    </row>
    <row r="12" spans="1:2" x14ac:dyDescent="0.35">
      <c r="A12" s="14" t="s">
        <v>50</v>
      </c>
      <c r="B12" s="12">
        <v>-558.65</v>
      </c>
    </row>
    <row r="13" spans="1:2" x14ac:dyDescent="0.35">
      <c r="A13" s="28" t="s">
        <v>165</v>
      </c>
      <c r="B13" s="12">
        <v>-18.98</v>
      </c>
    </row>
    <row r="14" spans="1:2" x14ac:dyDescent="0.35">
      <c r="A14" s="28" t="s">
        <v>15</v>
      </c>
      <c r="B14" s="12">
        <v>-251.86999999999998</v>
      </c>
    </row>
    <row r="15" spans="1:2" x14ac:dyDescent="0.35">
      <c r="A15" s="28" t="s">
        <v>19</v>
      </c>
      <c r="B15" s="12">
        <v>-287.8</v>
      </c>
    </row>
    <row r="16" spans="1:2" x14ac:dyDescent="0.35">
      <c r="A16" s="14" t="s">
        <v>101</v>
      </c>
      <c r="B16" s="12">
        <v>500</v>
      </c>
    </row>
    <row r="17" spans="1:2" x14ac:dyDescent="0.35">
      <c r="A17" s="28" t="s">
        <v>59</v>
      </c>
      <c r="B17" s="12">
        <v>500</v>
      </c>
    </row>
    <row r="18" spans="1:2" x14ac:dyDescent="0.35">
      <c r="A18" s="14" t="s">
        <v>58</v>
      </c>
      <c r="B18" s="12">
        <v>3974.92</v>
      </c>
    </row>
    <row r="19" spans="1:2" x14ac:dyDescent="0.35">
      <c r="A19" s="28" t="s">
        <v>59</v>
      </c>
      <c r="B19" s="12">
        <v>3974.92</v>
      </c>
    </row>
    <row r="20" spans="1:2" x14ac:dyDescent="0.35">
      <c r="A20" s="14" t="s">
        <v>251</v>
      </c>
      <c r="B20" s="12">
        <v>-232.48000000000002</v>
      </c>
    </row>
    <row r="21" spans="1:2" x14ac:dyDescent="0.35">
      <c r="A21" s="28" t="s">
        <v>252</v>
      </c>
      <c r="B21" s="12">
        <v>-133</v>
      </c>
    </row>
    <row r="22" spans="1:2" x14ac:dyDescent="0.35">
      <c r="A22" s="28" t="s">
        <v>670</v>
      </c>
      <c r="B22" s="12">
        <v>-16</v>
      </c>
    </row>
    <row r="23" spans="1:2" x14ac:dyDescent="0.35">
      <c r="A23" s="28" t="s">
        <v>288</v>
      </c>
      <c r="B23" s="12">
        <v>-70.98</v>
      </c>
    </row>
    <row r="24" spans="1:2" x14ac:dyDescent="0.35">
      <c r="A24" s="28" t="s">
        <v>297</v>
      </c>
      <c r="B24" s="12">
        <v>-12.5</v>
      </c>
    </row>
    <row r="25" spans="1:2" x14ac:dyDescent="0.35">
      <c r="A25" s="14" t="s">
        <v>90</v>
      </c>
      <c r="B25" s="12">
        <v>-176.72</v>
      </c>
    </row>
    <row r="26" spans="1:2" x14ac:dyDescent="0.35">
      <c r="A26" s="28" t="s">
        <v>106</v>
      </c>
      <c r="B26" s="12">
        <v>-20.47</v>
      </c>
    </row>
    <row r="27" spans="1:2" x14ac:dyDescent="0.35">
      <c r="A27" s="28" t="s">
        <v>570</v>
      </c>
      <c r="B27" s="12">
        <v>-135.94</v>
      </c>
    </row>
    <row r="28" spans="1:2" x14ac:dyDescent="0.35">
      <c r="A28" s="28" t="s">
        <v>78</v>
      </c>
      <c r="B28" s="12">
        <v>-20.309999999999999</v>
      </c>
    </row>
    <row r="29" spans="1:2" x14ac:dyDescent="0.35">
      <c r="A29" s="14" t="s">
        <v>77</v>
      </c>
      <c r="B29" s="12">
        <v>-617.52</v>
      </c>
    </row>
    <row r="30" spans="1:2" x14ac:dyDescent="0.35">
      <c r="A30" s="28" t="s">
        <v>200</v>
      </c>
      <c r="B30" s="12">
        <v>-184.26</v>
      </c>
    </row>
    <row r="31" spans="1:2" x14ac:dyDescent="0.35">
      <c r="A31" s="28" t="s">
        <v>78</v>
      </c>
      <c r="B31" s="12">
        <v>-433.26000000000005</v>
      </c>
    </row>
    <row r="32" spans="1:2" x14ac:dyDescent="0.35">
      <c r="A32" s="14" t="s">
        <v>73</v>
      </c>
      <c r="B32" s="12">
        <v>-39.17</v>
      </c>
    </row>
    <row r="33" spans="1:2" x14ac:dyDescent="0.35">
      <c r="A33" s="28" t="s">
        <v>309</v>
      </c>
      <c r="B33" s="12">
        <v>-31.07</v>
      </c>
    </row>
    <row r="34" spans="1:2" x14ac:dyDescent="0.35">
      <c r="A34" s="28" t="s">
        <v>112</v>
      </c>
      <c r="B34" s="12">
        <v>-3.1</v>
      </c>
    </row>
    <row r="35" spans="1:2" x14ac:dyDescent="0.35">
      <c r="A35" s="28" t="s">
        <v>74</v>
      </c>
      <c r="B35" s="12">
        <v>-5</v>
      </c>
    </row>
    <row r="36" spans="1:2" x14ac:dyDescent="0.35">
      <c r="A36" s="14" t="s">
        <v>1698</v>
      </c>
      <c r="B36" s="12">
        <v>-881.2</v>
      </c>
    </row>
    <row r="37" spans="1:2" x14ac:dyDescent="0.35">
      <c r="A37" s="28" t="s">
        <v>205</v>
      </c>
      <c r="B37" s="12">
        <v>-881.2</v>
      </c>
    </row>
    <row r="38" spans="1:2" x14ac:dyDescent="0.35">
      <c r="A38" s="14" t="s">
        <v>208</v>
      </c>
      <c r="B38" s="12">
        <v>2146.5699999999997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6699-9FBC-4F52-82FA-9E20DAB6CF94}">
  <dimension ref="A1:K57"/>
  <sheetViews>
    <sheetView workbookViewId="0">
      <selection activeCell="G7" sqref="G7"/>
    </sheetView>
  </sheetViews>
  <sheetFormatPr defaultRowHeight="12.75" x14ac:dyDescent="0.35"/>
  <cols>
    <col min="1" max="1" width="20.59765625" customWidth="1"/>
    <col min="2" max="2" width="16.86328125" customWidth="1"/>
    <col min="3" max="3" width="12.265625" customWidth="1"/>
    <col min="4" max="4" width="113" bestFit="1" customWidth="1"/>
    <col min="6" max="6" width="9.59765625" customWidth="1"/>
    <col min="7" max="7" width="11" customWidth="1"/>
    <col min="8" max="9" width="15.3984375" customWidth="1"/>
    <col min="10" max="10" width="10.265625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38</v>
      </c>
      <c r="H1" s="4" t="s">
        <v>39</v>
      </c>
      <c r="I1" s="4" t="s">
        <v>410</v>
      </c>
      <c r="J1" s="4" t="s">
        <v>40</v>
      </c>
      <c r="K1" s="5" t="s">
        <v>708</v>
      </c>
    </row>
    <row r="2" spans="1:11" x14ac:dyDescent="0.35">
      <c r="A2" s="1" t="s">
        <v>914</v>
      </c>
      <c r="B2" s="47" t="s">
        <v>912</v>
      </c>
      <c r="C2" s="47" t="s">
        <v>905</v>
      </c>
      <c r="D2" s="47" t="s">
        <v>63</v>
      </c>
      <c r="E2" s="47" t="s">
        <v>44</v>
      </c>
      <c r="F2" s="48">
        <v>-39.06</v>
      </c>
      <c r="G2" s="47" t="s">
        <v>50</v>
      </c>
      <c r="H2" s="47" t="s">
        <v>15</v>
      </c>
      <c r="I2" s="47"/>
      <c r="J2" s="47" t="s">
        <v>47</v>
      </c>
      <c r="K2" s="42" t="s">
        <v>713</v>
      </c>
    </row>
    <row r="3" spans="1:11" x14ac:dyDescent="0.35">
      <c r="A3" s="1" t="s">
        <v>911</v>
      </c>
      <c r="B3" s="47" t="s">
        <v>912</v>
      </c>
      <c r="C3" s="47" t="s">
        <v>711</v>
      </c>
      <c r="D3" s="47" t="s">
        <v>913</v>
      </c>
      <c r="E3" s="47" t="s">
        <v>44</v>
      </c>
      <c r="F3" s="48">
        <v>-14.5</v>
      </c>
      <c r="G3" s="47" t="s">
        <v>464</v>
      </c>
      <c r="H3" s="47" t="s">
        <v>78</v>
      </c>
      <c r="I3" s="47"/>
      <c r="J3" s="47" t="s">
        <v>47</v>
      </c>
      <c r="K3" s="42" t="s">
        <v>713</v>
      </c>
    </row>
    <row r="4" spans="1:11" x14ac:dyDescent="0.35">
      <c r="A4" s="1" t="s">
        <v>910</v>
      </c>
      <c r="B4" s="47" t="s">
        <v>711</v>
      </c>
      <c r="C4" s="47" t="s">
        <v>711</v>
      </c>
      <c r="D4" s="47" t="s">
        <v>731</v>
      </c>
      <c r="E4" s="47" t="s">
        <v>44</v>
      </c>
      <c r="F4" s="48">
        <v>-8.5</v>
      </c>
      <c r="G4" s="7" t="s">
        <v>77</v>
      </c>
      <c r="H4" s="7" t="s">
        <v>78</v>
      </c>
      <c r="I4" s="47"/>
      <c r="J4" s="47" t="s">
        <v>79</v>
      </c>
      <c r="K4" s="42" t="s">
        <v>713</v>
      </c>
    </row>
    <row r="5" spans="1:11" x14ac:dyDescent="0.35">
      <c r="A5" s="1" t="s">
        <v>909</v>
      </c>
      <c r="B5" s="47" t="s">
        <v>905</v>
      </c>
      <c r="C5" s="47" t="s">
        <v>905</v>
      </c>
      <c r="D5" s="47" t="s">
        <v>199</v>
      </c>
      <c r="E5" s="47" t="s">
        <v>44</v>
      </c>
      <c r="F5" s="48">
        <v>-905.16</v>
      </c>
      <c r="G5" s="47" t="s">
        <v>77</v>
      </c>
      <c r="H5" s="47" t="s">
        <v>200</v>
      </c>
      <c r="I5" s="47" t="s">
        <v>97</v>
      </c>
      <c r="J5" s="47" t="s">
        <v>79</v>
      </c>
      <c r="K5" s="42" t="s">
        <v>713</v>
      </c>
    </row>
    <row r="6" spans="1:11" x14ac:dyDescent="0.35">
      <c r="A6" s="1" t="s">
        <v>904</v>
      </c>
      <c r="B6" s="47" t="s">
        <v>905</v>
      </c>
      <c r="C6" s="47" t="s">
        <v>893</v>
      </c>
      <c r="D6" s="47" t="s">
        <v>906</v>
      </c>
      <c r="E6" s="47" t="s">
        <v>44</v>
      </c>
      <c r="F6" s="48">
        <v>-22.94</v>
      </c>
      <c r="G6" s="47" t="s">
        <v>50</v>
      </c>
      <c r="H6" s="47" t="s">
        <v>15</v>
      </c>
      <c r="I6" s="47"/>
      <c r="J6" s="47" t="s">
        <v>47</v>
      </c>
      <c r="K6" s="42" t="s">
        <v>713</v>
      </c>
    </row>
    <row r="7" spans="1:11" x14ac:dyDescent="0.35">
      <c r="A7" s="1" t="s">
        <v>907</v>
      </c>
      <c r="B7" s="47" t="s">
        <v>905</v>
      </c>
      <c r="C7" s="47" t="s">
        <v>905</v>
      </c>
      <c r="D7" s="47" t="s">
        <v>908</v>
      </c>
      <c r="E7" s="47" t="s">
        <v>44</v>
      </c>
      <c r="F7" s="48">
        <v>550</v>
      </c>
      <c r="G7" s="47" t="s">
        <v>176</v>
      </c>
      <c r="H7" s="47" t="s">
        <v>59</v>
      </c>
      <c r="I7" s="47"/>
      <c r="J7" s="47" t="s">
        <v>483</v>
      </c>
      <c r="K7" s="42" t="s">
        <v>713</v>
      </c>
    </row>
    <row r="8" spans="1:11" x14ac:dyDescent="0.35">
      <c r="A8" s="1" t="s">
        <v>902</v>
      </c>
      <c r="B8" s="47" t="s">
        <v>901</v>
      </c>
      <c r="C8" s="47" t="s">
        <v>901</v>
      </c>
      <c r="D8" s="47" t="s">
        <v>903</v>
      </c>
      <c r="E8" s="47" t="s">
        <v>44</v>
      </c>
      <c r="F8" s="48">
        <v>-221.2</v>
      </c>
      <c r="G8" s="47" t="s">
        <v>50</v>
      </c>
      <c r="H8" s="47" t="s">
        <v>69</v>
      </c>
      <c r="I8" s="47"/>
      <c r="J8" s="47" t="s">
        <v>60</v>
      </c>
      <c r="K8" s="42" t="s">
        <v>713</v>
      </c>
    </row>
    <row r="9" spans="1:11" x14ac:dyDescent="0.35">
      <c r="A9" s="1" t="s">
        <v>900</v>
      </c>
      <c r="B9" s="47" t="s">
        <v>901</v>
      </c>
      <c r="C9" s="47" t="s">
        <v>873</v>
      </c>
      <c r="D9" s="47" t="s">
        <v>390</v>
      </c>
      <c r="E9" s="47" t="s">
        <v>44</v>
      </c>
      <c r="F9" s="48">
        <v>-9.06</v>
      </c>
      <c r="G9" s="47" t="s">
        <v>50</v>
      </c>
      <c r="H9" s="47" t="s">
        <v>15</v>
      </c>
      <c r="I9" s="47"/>
      <c r="J9" s="47" t="s">
        <v>47</v>
      </c>
      <c r="K9" s="42" t="s">
        <v>713</v>
      </c>
    </row>
    <row r="10" spans="1:11" x14ac:dyDescent="0.35">
      <c r="A10" s="1" t="s">
        <v>892</v>
      </c>
      <c r="B10" s="47" t="s">
        <v>893</v>
      </c>
      <c r="C10" s="47" t="s">
        <v>873</v>
      </c>
      <c r="D10" s="47" t="s">
        <v>894</v>
      </c>
      <c r="E10" s="47" t="s">
        <v>44</v>
      </c>
      <c r="F10" s="48">
        <v>-31.77</v>
      </c>
      <c r="G10" s="47" t="s">
        <v>45</v>
      </c>
      <c r="H10" s="47" t="s">
        <v>46</v>
      </c>
      <c r="I10" s="47"/>
      <c r="J10" s="47" t="s">
        <v>47</v>
      </c>
      <c r="K10" s="42" t="s">
        <v>713</v>
      </c>
    </row>
    <row r="11" spans="1:11" x14ac:dyDescent="0.35">
      <c r="A11" s="1" t="s">
        <v>895</v>
      </c>
      <c r="B11" s="47" t="s">
        <v>893</v>
      </c>
      <c r="C11" s="47" t="s">
        <v>873</v>
      </c>
      <c r="D11" s="47" t="s">
        <v>896</v>
      </c>
      <c r="E11" s="47" t="s">
        <v>44</v>
      </c>
      <c r="F11" s="48">
        <v>-28</v>
      </c>
      <c r="G11" s="47" t="s">
        <v>73</v>
      </c>
      <c r="H11" s="47" t="s">
        <v>897</v>
      </c>
      <c r="I11" s="47"/>
      <c r="J11" s="47" t="s">
        <v>47</v>
      </c>
      <c r="K11" s="42" t="s">
        <v>713</v>
      </c>
    </row>
    <row r="12" spans="1:11" x14ac:dyDescent="0.35">
      <c r="A12" s="1" t="s">
        <v>898</v>
      </c>
      <c r="B12" s="47" t="s">
        <v>893</v>
      </c>
      <c r="C12" s="47" t="s">
        <v>873</v>
      </c>
      <c r="D12" s="47" t="s">
        <v>899</v>
      </c>
      <c r="E12" s="47" t="s">
        <v>44</v>
      </c>
      <c r="F12" s="48">
        <v>-12.7</v>
      </c>
      <c r="G12" s="47" t="s">
        <v>73</v>
      </c>
      <c r="H12" s="47" t="s">
        <v>74</v>
      </c>
      <c r="I12" s="47"/>
      <c r="J12" s="47" t="s">
        <v>47</v>
      </c>
      <c r="K12" s="42" t="s">
        <v>713</v>
      </c>
    </row>
    <row r="13" spans="1:11" x14ac:dyDescent="0.35">
      <c r="A13" s="1" t="s">
        <v>883</v>
      </c>
      <c r="B13" s="47" t="s">
        <v>884</v>
      </c>
      <c r="C13" s="47" t="s">
        <v>873</v>
      </c>
      <c r="D13" s="47" t="s">
        <v>885</v>
      </c>
      <c r="E13" s="47" t="s">
        <v>44</v>
      </c>
      <c r="F13" s="48">
        <v>-49.5</v>
      </c>
      <c r="G13" s="47" t="s">
        <v>45</v>
      </c>
      <c r="H13" s="47" t="s">
        <v>46</v>
      </c>
      <c r="I13" s="47"/>
      <c r="J13" s="47" t="s">
        <v>47</v>
      </c>
      <c r="K13" s="42" t="s">
        <v>713</v>
      </c>
    </row>
    <row r="14" spans="1:11" x14ac:dyDescent="0.35">
      <c r="A14" s="1" t="s">
        <v>890</v>
      </c>
      <c r="B14" s="47" t="s">
        <v>884</v>
      </c>
      <c r="C14" s="47" t="s">
        <v>873</v>
      </c>
      <c r="D14" s="47" t="s">
        <v>891</v>
      </c>
      <c r="E14" s="47" t="s">
        <v>44</v>
      </c>
      <c r="F14" s="48">
        <v>-16.5</v>
      </c>
      <c r="G14" s="47" t="s">
        <v>45</v>
      </c>
      <c r="H14" s="47" t="s">
        <v>361</v>
      </c>
      <c r="I14" s="47"/>
      <c r="J14" s="47" t="s">
        <v>47</v>
      </c>
      <c r="K14" s="42" t="s">
        <v>713</v>
      </c>
    </row>
    <row r="15" spans="1:11" x14ac:dyDescent="0.35">
      <c r="A15" s="1" t="s">
        <v>886</v>
      </c>
      <c r="B15" s="47" t="s">
        <v>884</v>
      </c>
      <c r="C15" s="47" t="s">
        <v>873</v>
      </c>
      <c r="D15" s="47" t="s">
        <v>887</v>
      </c>
      <c r="E15" s="47" t="s">
        <v>44</v>
      </c>
      <c r="F15" s="48">
        <v>-14.3</v>
      </c>
      <c r="G15" s="47" t="s">
        <v>50</v>
      </c>
      <c r="H15" s="47" t="s">
        <v>15</v>
      </c>
      <c r="I15" s="47"/>
      <c r="J15" s="47" t="s">
        <v>47</v>
      </c>
      <c r="K15" s="42" t="s">
        <v>713</v>
      </c>
    </row>
    <row r="16" spans="1:11" x14ac:dyDescent="0.35">
      <c r="A16" s="1" t="s">
        <v>888</v>
      </c>
      <c r="B16" s="47" t="s">
        <v>884</v>
      </c>
      <c r="C16" s="47" t="s">
        <v>873</v>
      </c>
      <c r="D16" s="47" t="s">
        <v>889</v>
      </c>
      <c r="E16" s="47" t="s">
        <v>44</v>
      </c>
      <c r="F16" s="48">
        <v>-7.3</v>
      </c>
      <c r="G16" s="47" t="s">
        <v>251</v>
      </c>
      <c r="H16" s="47" t="s">
        <v>288</v>
      </c>
      <c r="I16" s="47"/>
      <c r="J16" s="47" t="s">
        <v>47</v>
      </c>
      <c r="K16" s="42" t="s">
        <v>713</v>
      </c>
    </row>
    <row r="17" spans="1:11" x14ac:dyDescent="0.35">
      <c r="A17" s="1" t="s">
        <v>881</v>
      </c>
      <c r="B17" s="47" t="s">
        <v>875</v>
      </c>
      <c r="C17" s="47" t="s">
        <v>869</v>
      </c>
      <c r="D17" s="47" t="s">
        <v>882</v>
      </c>
      <c r="E17" s="47" t="s">
        <v>44</v>
      </c>
      <c r="F17" s="48">
        <v>-40</v>
      </c>
      <c r="G17" s="47" t="s">
        <v>90</v>
      </c>
      <c r="H17" s="47" t="s">
        <v>78</v>
      </c>
      <c r="I17" s="47"/>
      <c r="J17" s="47" t="s">
        <v>47</v>
      </c>
      <c r="K17" s="42" t="s">
        <v>713</v>
      </c>
    </row>
    <row r="18" spans="1:11" x14ac:dyDescent="0.35">
      <c r="A18" s="1" t="s">
        <v>874</v>
      </c>
      <c r="B18" s="47" t="s">
        <v>875</v>
      </c>
      <c r="C18" s="47" t="s">
        <v>869</v>
      </c>
      <c r="D18" s="47" t="s">
        <v>203</v>
      </c>
      <c r="E18" s="47" t="s">
        <v>44</v>
      </c>
      <c r="F18" s="48">
        <v>-30.5</v>
      </c>
      <c r="G18" s="47" t="s">
        <v>45</v>
      </c>
      <c r="H18" s="47" t="s">
        <v>46</v>
      </c>
      <c r="I18" s="47"/>
      <c r="J18" s="47" t="s">
        <v>47</v>
      </c>
      <c r="K18" s="42" t="s">
        <v>713</v>
      </c>
    </row>
    <row r="19" spans="1:11" x14ac:dyDescent="0.35">
      <c r="A19" s="1" t="s">
        <v>877</v>
      </c>
      <c r="B19" s="47" t="s">
        <v>875</v>
      </c>
      <c r="C19" s="47" t="s">
        <v>869</v>
      </c>
      <c r="D19" s="47" t="s">
        <v>878</v>
      </c>
      <c r="E19" s="47" t="s">
        <v>44</v>
      </c>
      <c r="F19" s="48">
        <v>-24</v>
      </c>
      <c r="G19" s="47" t="s">
        <v>464</v>
      </c>
      <c r="H19" s="47" t="s">
        <v>465</v>
      </c>
      <c r="I19" s="47"/>
      <c r="J19" s="47" t="s">
        <v>47</v>
      </c>
      <c r="K19" s="42" t="s">
        <v>713</v>
      </c>
    </row>
    <row r="20" spans="1:11" x14ac:dyDescent="0.35">
      <c r="A20" s="1" t="s">
        <v>879</v>
      </c>
      <c r="B20" s="47" t="s">
        <v>875</v>
      </c>
      <c r="C20" s="47" t="s">
        <v>869</v>
      </c>
      <c r="D20" s="47" t="s">
        <v>880</v>
      </c>
      <c r="E20" s="47" t="s">
        <v>44</v>
      </c>
      <c r="F20" s="48">
        <v>-7</v>
      </c>
      <c r="G20" s="47" t="s">
        <v>73</v>
      </c>
      <c r="H20" s="47" t="s">
        <v>74</v>
      </c>
      <c r="I20" s="47"/>
      <c r="J20" s="47" t="s">
        <v>47</v>
      </c>
      <c r="K20" s="42" t="s">
        <v>713</v>
      </c>
    </row>
    <row r="21" spans="1:11" x14ac:dyDescent="0.35">
      <c r="A21" s="1" t="s">
        <v>876</v>
      </c>
      <c r="B21" s="47" t="s">
        <v>875</v>
      </c>
      <c r="C21" s="47" t="s">
        <v>869</v>
      </c>
      <c r="D21" s="47" t="s">
        <v>230</v>
      </c>
      <c r="E21" s="47" t="s">
        <v>44</v>
      </c>
      <c r="F21" s="48">
        <v>-4.8</v>
      </c>
      <c r="G21" s="47" t="s">
        <v>73</v>
      </c>
      <c r="H21" s="47" t="s">
        <v>74</v>
      </c>
      <c r="I21" s="47"/>
      <c r="J21" s="47" t="s">
        <v>47</v>
      </c>
      <c r="K21" s="42" t="s">
        <v>713</v>
      </c>
    </row>
    <row r="22" spans="1:11" x14ac:dyDescent="0.35">
      <c r="A22" s="1" t="s">
        <v>872</v>
      </c>
      <c r="B22" s="47" t="s">
        <v>873</v>
      </c>
      <c r="C22" s="47" t="s">
        <v>867</v>
      </c>
      <c r="D22" s="47" t="s">
        <v>476</v>
      </c>
      <c r="E22" s="47" t="s">
        <v>44</v>
      </c>
      <c r="F22" s="48">
        <v>-18.98</v>
      </c>
      <c r="G22" s="47" t="s">
        <v>50</v>
      </c>
      <c r="H22" s="47" t="s">
        <v>165</v>
      </c>
      <c r="I22" s="47"/>
      <c r="J22" s="47" t="s">
        <v>91</v>
      </c>
      <c r="K22" s="42" t="s">
        <v>713</v>
      </c>
    </row>
    <row r="23" spans="1:11" x14ac:dyDescent="0.35">
      <c r="A23" s="1" t="s">
        <v>868</v>
      </c>
      <c r="B23" s="47" t="s">
        <v>869</v>
      </c>
      <c r="C23" s="47" t="s">
        <v>870</v>
      </c>
      <c r="D23" s="47" t="s">
        <v>108</v>
      </c>
      <c r="E23" s="47" t="s">
        <v>44</v>
      </c>
      <c r="F23" s="48">
        <v>-21</v>
      </c>
      <c r="G23" s="47" t="s">
        <v>50</v>
      </c>
      <c r="H23" s="47" t="s">
        <v>15</v>
      </c>
      <c r="I23" s="47"/>
      <c r="J23" s="47" t="s">
        <v>47</v>
      </c>
      <c r="K23" s="42" t="s">
        <v>713</v>
      </c>
    </row>
    <row r="24" spans="1:11" x14ac:dyDescent="0.35">
      <c r="A24" s="1" t="s">
        <v>871</v>
      </c>
      <c r="B24" s="47" t="s">
        <v>869</v>
      </c>
      <c r="C24" s="47" t="s">
        <v>869</v>
      </c>
      <c r="D24" s="47" t="s">
        <v>731</v>
      </c>
      <c r="E24" s="47" t="s">
        <v>44</v>
      </c>
      <c r="F24" s="48">
        <v>-19.899999999999999</v>
      </c>
      <c r="G24" s="47" t="s">
        <v>77</v>
      </c>
      <c r="H24" s="47" t="s">
        <v>78</v>
      </c>
      <c r="I24" s="47"/>
      <c r="J24" s="47" t="s">
        <v>79</v>
      </c>
      <c r="K24" s="42" t="s">
        <v>713</v>
      </c>
    </row>
    <row r="25" spans="1:11" x14ac:dyDescent="0.35">
      <c r="A25" s="1" t="s">
        <v>866</v>
      </c>
      <c r="B25" s="47" t="s">
        <v>867</v>
      </c>
      <c r="C25" s="47" t="s">
        <v>852</v>
      </c>
      <c r="D25" s="47" t="s">
        <v>469</v>
      </c>
      <c r="E25" s="47" t="s">
        <v>44</v>
      </c>
      <c r="F25" s="48">
        <v>-250</v>
      </c>
      <c r="G25" s="47" t="s">
        <v>98</v>
      </c>
      <c r="H25" s="47" t="s">
        <v>340</v>
      </c>
      <c r="I25" s="47"/>
      <c r="J25" s="47" t="s">
        <v>341</v>
      </c>
      <c r="K25" s="42" t="s">
        <v>713</v>
      </c>
    </row>
    <row r="26" spans="1:11" x14ac:dyDescent="0.35">
      <c r="A26" s="1" t="s">
        <v>861</v>
      </c>
      <c r="B26" s="47" t="s">
        <v>856</v>
      </c>
      <c r="C26" s="47" t="s">
        <v>852</v>
      </c>
      <c r="D26" s="47" t="s">
        <v>49</v>
      </c>
      <c r="E26" s="47" t="s">
        <v>44</v>
      </c>
      <c r="F26" s="48">
        <v>-24.5</v>
      </c>
      <c r="G26" s="47" t="s">
        <v>50</v>
      </c>
      <c r="H26" s="47" t="s">
        <v>51</v>
      </c>
      <c r="I26" s="47"/>
      <c r="J26" s="47" t="s">
        <v>47</v>
      </c>
      <c r="K26" s="42" t="s">
        <v>713</v>
      </c>
    </row>
    <row r="27" spans="1:11" x14ac:dyDescent="0.35">
      <c r="A27" s="1" t="s">
        <v>858</v>
      </c>
      <c r="B27" s="47" t="s">
        <v>856</v>
      </c>
      <c r="C27" s="47" t="s">
        <v>852</v>
      </c>
      <c r="D27" s="47" t="s">
        <v>859</v>
      </c>
      <c r="E27" s="47" t="s">
        <v>44</v>
      </c>
      <c r="F27" s="48">
        <v>-15.9</v>
      </c>
      <c r="G27" s="47" t="s">
        <v>45</v>
      </c>
      <c r="H27" s="47" t="s">
        <v>46</v>
      </c>
      <c r="I27" s="47"/>
      <c r="J27" s="47" t="s">
        <v>47</v>
      </c>
      <c r="K27" s="42" t="s">
        <v>713</v>
      </c>
    </row>
    <row r="28" spans="1:11" x14ac:dyDescent="0.35">
      <c r="A28" s="1" t="s">
        <v>862</v>
      </c>
      <c r="B28" s="47" t="s">
        <v>856</v>
      </c>
      <c r="C28" s="47" t="s">
        <v>852</v>
      </c>
      <c r="D28" s="47" t="s">
        <v>455</v>
      </c>
      <c r="E28" s="47" t="s">
        <v>44</v>
      </c>
      <c r="F28" s="48">
        <v>-13.02</v>
      </c>
      <c r="G28" s="47" t="s">
        <v>50</v>
      </c>
      <c r="H28" s="47" t="s">
        <v>15</v>
      </c>
      <c r="I28" s="47"/>
      <c r="J28" s="47" t="s">
        <v>47</v>
      </c>
      <c r="K28" s="42" t="s">
        <v>713</v>
      </c>
    </row>
    <row r="29" spans="1:11" x14ac:dyDescent="0.35">
      <c r="A29" s="1" t="s">
        <v>860</v>
      </c>
      <c r="B29" s="47" t="s">
        <v>856</v>
      </c>
      <c r="C29" s="47" t="s">
        <v>852</v>
      </c>
      <c r="D29" s="47" t="s">
        <v>567</v>
      </c>
      <c r="E29" s="47" t="s">
        <v>44</v>
      </c>
      <c r="F29" s="48">
        <v>-9.9499999999999993</v>
      </c>
      <c r="G29" s="47" t="s">
        <v>50</v>
      </c>
      <c r="H29" s="47" t="s">
        <v>78</v>
      </c>
      <c r="I29" s="47"/>
      <c r="J29" s="47" t="s">
        <v>47</v>
      </c>
      <c r="K29" s="42" t="s">
        <v>713</v>
      </c>
    </row>
    <row r="30" spans="1:11" x14ac:dyDescent="0.35">
      <c r="A30" s="1" t="s">
        <v>855</v>
      </c>
      <c r="B30" s="47" t="s">
        <v>856</v>
      </c>
      <c r="C30" s="47" t="s">
        <v>852</v>
      </c>
      <c r="D30" s="47" t="s">
        <v>857</v>
      </c>
      <c r="E30" s="47" t="s">
        <v>44</v>
      </c>
      <c r="F30" s="48">
        <v>-4</v>
      </c>
      <c r="G30" s="47" t="s">
        <v>90</v>
      </c>
      <c r="H30" s="47" t="s">
        <v>106</v>
      </c>
      <c r="I30" s="47"/>
      <c r="J30" s="47" t="s">
        <v>47</v>
      </c>
      <c r="K30" s="42" t="s">
        <v>713</v>
      </c>
    </row>
    <row r="31" spans="1:11" x14ac:dyDescent="0.35">
      <c r="A31" s="1" t="s">
        <v>863</v>
      </c>
      <c r="B31" s="47" t="s">
        <v>856</v>
      </c>
      <c r="C31" s="47" t="s">
        <v>856</v>
      </c>
      <c r="D31" s="47" t="s">
        <v>864</v>
      </c>
      <c r="E31" s="47" t="s">
        <v>44</v>
      </c>
      <c r="F31" s="48">
        <v>677.22</v>
      </c>
      <c r="G31" s="47" t="s">
        <v>58</v>
      </c>
      <c r="H31" s="47" t="s">
        <v>59</v>
      </c>
      <c r="I31" s="47"/>
      <c r="J31" s="47" t="s">
        <v>60</v>
      </c>
      <c r="K31" s="42" t="s">
        <v>713</v>
      </c>
    </row>
    <row r="32" spans="1:11" x14ac:dyDescent="0.35">
      <c r="A32" s="1" t="s">
        <v>865</v>
      </c>
      <c r="B32" s="47" t="s">
        <v>856</v>
      </c>
      <c r="C32" s="47" t="s">
        <v>856</v>
      </c>
      <c r="D32" s="47" t="s">
        <v>211</v>
      </c>
      <c r="E32" s="47" t="s">
        <v>44</v>
      </c>
      <c r="F32" s="48">
        <v>3827.91</v>
      </c>
      <c r="G32" s="47" t="s">
        <v>58</v>
      </c>
      <c r="H32" s="47" t="s">
        <v>59</v>
      </c>
      <c r="I32" s="47"/>
      <c r="J32" s="47" t="s">
        <v>60</v>
      </c>
      <c r="K32" s="42" t="s">
        <v>713</v>
      </c>
    </row>
    <row r="33" spans="1:11" x14ac:dyDescent="0.35">
      <c r="A33" s="1" t="s">
        <v>851</v>
      </c>
      <c r="B33" s="47" t="s">
        <v>852</v>
      </c>
      <c r="C33" s="47" t="s">
        <v>844</v>
      </c>
      <c r="D33" s="47" t="s">
        <v>121</v>
      </c>
      <c r="E33" s="47" t="s">
        <v>44</v>
      </c>
      <c r="F33" s="48">
        <v>-16.03</v>
      </c>
      <c r="G33" s="47" t="s">
        <v>50</v>
      </c>
      <c r="H33" s="47" t="s">
        <v>15</v>
      </c>
      <c r="I33" s="47"/>
      <c r="J33" s="47" t="s">
        <v>47</v>
      </c>
      <c r="K33" s="42" t="s">
        <v>713</v>
      </c>
    </row>
    <row r="34" spans="1:11" x14ac:dyDescent="0.35">
      <c r="A34" s="1" t="s">
        <v>853</v>
      </c>
      <c r="B34" s="47" t="s">
        <v>852</v>
      </c>
      <c r="C34" s="47" t="s">
        <v>852</v>
      </c>
      <c r="D34" s="47" t="s">
        <v>854</v>
      </c>
      <c r="E34" s="47" t="s">
        <v>44</v>
      </c>
      <c r="F34" s="48">
        <v>56</v>
      </c>
      <c r="G34" s="47" t="s">
        <v>101</v>
      </c>
      <c r="H34" s="47" t="s">
        <v>59</v>
      </c>
      <c r="I34" s="47"/>
      <c r="J34" s="47" t="s">
        <v>60</v>
      </c>
      <c r="K34" s="42" t="s">
        <v>713</v>
      </c>
    </row>
    <row r="35" spans="1:11" x14ac:dyDescent="0.35">
      <c r="A35" s="1" t="s">
        <v>848</v>
      </c>
      <c r="B35" s="47" t="s">
        <v>847</v>
      </c>
      <c r="C35" s="47" t="s">
        <v>847</v>
      </c>
      <c r="D35" s="47" t="s">
        <v>849</v>
      </c>
      <c r="E35" s="47" t="s">
        <v>44</v>
      </c>
      <c r="F35" s="48">
        <v>-83.37</v>
      </c>
      <c r="G35" s="47" t="s">
        <v>50</v>
      </c>
      <c r="H35" s="47" t="s">
        <v>21</v>
      </c>
      <c r="I35" s="47"/>
      <c r="J35" s="47" t="s">
        <v>79</v>
      </c>
      <c r="K35" s="42" t="s">
        <v>713</v>
      </c>
    </row>
    <row r="36" spans="1:11" x14ac:dyDescent="0.35">
      <c r="A36" s="1" t="s">
        <v>846</v>
      </c>
      <c r="B36" s="47" t="s">
        <v>847</v>
      </c>
      <c r="C36" s="47" t="s">
        <v>831</v>
      </c>
      <c r="D36" s="47" t="s">
        <v>89</v>
      </c>
      <c r="E36" s="47" t="s">
        <v>44</v>
      </c>
      <c r="F36" s="48">
        <v>-49.97</v>
      </c>
      <c r="G36" s="47" t="s">
        <v>90</v>
      </c>
      <c r="H36" s="47" t="s">
        <v>78</v>
      </c>
      <c r="I36" s="47"/>
      <c r="J36" s="47" t="s">
        <v>91</v>
      </c>
      <c r="K36" s="42" t="s">
        <v>713</v>
      </c>
    </row>
    <row r="37" spans="1:11" x14ac:dyDescent="0.35">
      <c r="A37" s="1" t="s">
        <v>850</v>
      </c>
      <c r="B37" s="47" t="s">
        <v>847</v>
      </c>
      <c r="C37" s="47" t="s">
        <v>847</v>
      </c>
      <c r="D37" s="47" t="s">
        <v>731</v>
      </c>
      <c r="E37" s="47" t="s">
        <v>44</v>
      </c>
      <c r="F37" s="48">
        <v>-30</v>
      </c>
      <c r="G37" s="47" t="s">
        <v>77</v>
      </c>
      <c r="H37" s="47" t="s">
        <v>78</v>
      </c>
      <c r="I37" s="47"/>
      <c r="J37" s="47" t="s">
        <v>79</v>
      </c>
      <c r="K37" s="42" t="s">
        <v>713</v>
      </c>
    </row>
    <row r="38" spans="1:11" x14ac:dyDescent="0.35">
      <c r="A38" s="1" t="s">
        <v>843</v>
      </c>
      <c r="B38" s="47" t="s">
        <v>844</v>
      </c>
      <c r="C38" s="47" t="s">
        <v>837</v>
      </c>
      <c r="D38" s="47" t="s">
        <v>845</v>
      </c>
      <c r="E38" s="47" t="s">
        <v>44</v>
      </c>
      <c r="F38" s="48">
        <v>-5.57</v>
      </c>
      <c r="G38" s="47" t="s">
        <v>50</v>
      </c>
      <c r="H38" s="47" t="s">
        <v>15</v>
      </c>
      <c r="I38" s="47"/>
      <c r="J38" s="47" t="s">
        <v>47</v>
      </c>
      <c r="K38" s="42" t="s">
        <v>713</v>
      </c>
    </row>
    <row r="39" spans="1:11" x14ac:dyDescent="0.35">
      <c r="A39" s="1" t="s">
        <v>841</v>
      </c>
      <c r="B39" s="47" t="s">
        <v>842</v>
      </c>
      <c r="C39" s="47" t="s">
        <v>831</v>
      </c>
      <c r="D39" s="47" t="s">
        <v>815</v>
      </c>
      <c r="E39" s="47" t="s">
        <v>44</v>
      </c>
      <c r="F39" s="48">
        <v>-4.8</v>
      </c>
      <c r="G39" s="47" t="s">
        <v>73</v>
      </c>
      <c r="H39" s="47" t="s">
        <v>74</v>
      </c>
      <c r="I39" s="47"/>
      <c r="J39" s="47" t="s">
        <v>47</v>
      </c>
      <c r="K39" s="42" t="s">
        <v>713</v>
      </c>
    </row>
    <row r="40" spans="1:11" x14ac:dyDescent="0.35">
      <c r="A40" s="1" t="s">
        <v>840</v>
      </c>
      <c r="B40" s="47" t="s">
        <v>837</v>
      </c>
      <c r="C40" s="47" t="s">
        <v>831</v>
      </c>
      <c r="D40" s="47" t="s">
        <v>748</v>
      </c>
      <c r="E40" s="47" t="s">
        <v>44</v>
      </c>
      <c r="F40" s="48">
        <v>-25.52</v>
      </c>
      <c r="G40" s="47" t="s">
        <v>73</v>
      </c>
      <c r="H40" s="47" t="s">
        <v>309</v>
      </c>
      <c r="I40" s="47"/>
      <c r="J40" s="47" t="s">
        <v>47</v>
      </c>
      <c r="K40" s="42" t="s">
        <v>713</v>
      </c>
    </row>
    <row r="41" spans="1:11" x14ac:dyDescent="0.35">
      <c r="A41" s="1" t="s">
        <v>836</v>
      </c>
      <c r="B41" s="47" t="s">
        <v>837</v>
      </c>
      <c r="C41" s="47" t="s">
        <v>831</v>
      </c>
      <c r="D41" s="47" t="s">
        <v>838</v>
      </c>
      <c r="E41" s="47" t="s">
        <v>44</v>
      </c>
      <c r="F41" s="48">
        <v>-7</v>
      </c>
      <c r="G41" s="47" t="s">
        <v>45</v>
      </c>
      <c r="H41" s="47" t="s">
        <v>46</v>
      </c>
      <c r="I41" s="47"/>
      <c r="J41" s="47" t="s">
        <v>47</v>
      </c>
      <c r="K41" s="42" t="s">
        <v>713</v>
      </c>
    </row>
    <row r="42" spans="1:11" x14ac:dyDescent="0.35">
      <c r="A42" s="1" t="s">
        <v>839</v>
      </c>
      <c r="B42" s="47" t="s">
        <v>837</v>
      </c>
      <c r="C42" s="47" t="s">
        <v>831</v>
      </c>
      <c r="D42" s="47" t="s">
        <v>72</v>
      </c>
      <c r="E42" s="47" t="s">
        <v>44</v>
      </c>
      <c r="F42" s="48">
        <v>-4.8</v>
      </c>
      <c r="G42" s="47" t="s">
        <v>73</v>
      </c>
      <c r="H42" s="47" t="s">
        <v>74</v>
      </c>
      <c r="I42" s="47"/>
      <c r="J42" s="47" t="s">
        <v>47</v>
      </c>
      <c r="K42" s="42" t="s">
        <v>713</v>
      </c>
    </row>
    <row r="43" spans="1:11" x14ac:dyDescent="0.35">
      <c r="A43" s="1" t="s">
        <v>830</v>
      </c>
      <c r="B43" s="47" t="s">
        <v>831</v>
      </c>
      <c r="C43" s="47" t="s">
        <v>824</v>
      </c>
      <c r="D43" s="47" t="s">
        <v>86</v>
      </c>
      <c r="E43" s="47" t="s">
        <v>44</v>
      </c>
      <c r="F43" s="48">
        <v>-80.650000000000006</v>
      </c>
      <c r="G43" s="47" t="s">
        <v>50</v>
      </c>
      <c r="H43" s="47" t="s">
        <v>19</v>
      </c>
      <c r="I43" s="47"/>
      <c r="J43" s="47" t="s">
        <v>47</v>
      </c>
      <c r="K43" s="42" t="s">
        <v>713</v>
      </c>
    </row>
    <row r="44" spans="1:11" x14ac:dyDescent="0.35">
      <c r="A44" s="1" t="s">
        <v>834</v>
      </c>
      <c r="B44" s="47" t="s">
        <v>831</v>
      </c>
      <c r="C44" s="47" t="s">
        <v>831</v>
      </c>
      <c r="D44" s="47" t="s">
        <v>835</v>
      </c>
      <c r="E44" s="47" t="s">
        <v>44</v>
      </c>
      <c r="F44" s="48">
        <v>157.65</v>
      </c>
      <c r="G44" s="47" t="s">
        <v>101</v>
      </c>
      <c r="H44" s="47" t="s">
        <v>59</v>
      </c>
      <c r="I44" s="47"/>
      <c r="J44" s="47" t="s">
        <v>60</v>
      </c>
      <c r="K44" s="42" t="s">
        <v>713</v>
      </c>
    </row>
    <row r="45" spans="1:11" x14ac:dyDescent="0.35">
      <c r="A45" s="1" t="s">
        <v>832</v>
      </c>
      <c r="B45" s="47" t="s">
        <v>831</v>
      </c>
      <c r="C45" s="47" t="s">
        <v>831</v>
      </c>
      <c r="D45" s="47" t="s">
        <v>833</v>
      </c>
      <c r="E45" s="47" t="s">
        <v>44</v>
      </c>
      <c r="F45" s="48">
        <v>443.66</v>
      </c>
      <c r="G45" s="47" t="s">
        <v>101</v>
      </c>
      <c r="H45" s="47" t="s">
        <v>59</v>
      </c>
      <c r="I45" s="47"/>
      <c r="J45" s="47" t="s">
        <v>60</v>
      </c>
      <c r="K45" s="42" t="s">
        <v>713</v>
      </c>
    </row>
    <row r="46" spans="1:11" x14ac:dyDescent="0.35">
      <c r="A46" s="1" t="s">
        <v>826</v>
      </c>
      <c r="B46" s="47" t="s">
        <v>827</v>
      </c>
      <c r="C46" s="47" t="s">
        <v>827</v>
      </c>
      <c r="D46" s="47" t="s">
        <v>828</v>
      </c>
      <c r="E46" s="47" t="s">
        <v>44</v>
      </c>
      <c r="F46" s="48">
        <v>-10000</v>
      </c>
      <c r="G46" s="47" t="s">
        <v>77</v>
      </c>
      <c r="H46" s="47" t="s">
        <v>765</v>
      </c>
      <c r="I46" s="47" t="s">
        <v>97</v>
      </c>
      <c r="J46" s="47" t="s">
        <v>60</v>
      </c>
      <c r="K46" s="42" t="s">
        <v>713</v>
      </c>
    </row>
    <row r="47" spans="1:11" x14ac:dyDescent="0.35">
      <c r="A47" s="1" t="s">
        <v>829</v>
      </c>
      <c r="B47" s="47" t="s">
        <v>827</v>
      </c>
      <c r="C47" s="47" t="s">
        <v>818</v>
      </c>
      <c r="D47" s="47" t="s">
        <v>287</v>
      </c>
      <c r="E47" s="47" t="s">
        <v>44</v>
      </c>
      <c r="F47" s="48">
        <v>-37.5</v>
      </c>
      <c r="G47" s="47" t="s">
        <v>251</v>
      </c>
      <c r="H47" s="47" t="s">
        <v>288</v>
      </c>
      <c r="I47" s="47"/>
      <c r="J47" s="47" t="s">
        <v>47</v>
      </c>
      <c r="K47" s="42" t="s">
        <v>713</v>
      </c>
    </row>
    <row r="48" spans="1:11" x14ac:dyDescent="0.35">
      <c r="A48" s="1" t="s">
        <v>823</v>
      </c>
      <c r="B48" s="47" t="s">
        <v>824</v>
      </c>
      <c r="C48" s="47" t="s">
        <v>824</v>
      </c>
      <c r="D48" s="47" t="s">
        <v>825</v>
      </c>
      <c r="E48" s="47" t="s">
        <v>44</v>
      </c>
      <c r="F48" s="48">
        <v>-148.15</v>
      </c>
      <c r="G48" s="47" t="s">
        <v>50</v>
      </c>
      <c r="H48" s="47" t="s">
        <v>19</v>
      </c>
      <c r="I48" s="47"/>
      <c r="J48" s="47" t="s">
        <v>47</v>
      </c>
      <c r="K48" s="42" t="s">
        <v>713</v>
      </c>
    </row>
    <row r="49" spans="1:11" x14ac:dyDescent="0.35">
      <c r="A49" s="1" t="s">
        <v>817</v>
      </c>
      <c r="B49" s="47" t="s">
        <v>818</v>
      </c>
      <c r="C49" s="47" t="s">
        <v>818</v>
      </c>
      <c r="D49" s="47" t="s">
        <v>658</v>
      </c>
      <c r="E49" s="47" t="s">
        <v>44</v>
      </c>
      <c r="F49" s="48">
        <v>-55.2</v>
      </c>
      <c r="G49" s="47" t="s">
        <v>136</v>
      </c>
      <c r="H49" s="47" t="s">
        <v>394</v>
      </c>
      <c r="I49" s="47"/>
      <c r="J49" s="47" t="s">
        <v>659</v>
      </c>
      <c r="K49" s="42" t="s">
        <v>713</v>
      </c>
    </row>
    <row r="50" spans="1:11" x14ac:dyDescent="0.35">
      <c r="A50" s="1" t="s">
        <v>819</v>
      </c>
      <c r="B50" s="47" t="s">
        <v>818</v>
      </c>
      <c r="C50" s="47" t="s">
        <v>806</v>
      </c>
      <c r="D50" s="47" t="s">
        <v>121</v>
      </c>
      <c r="E50" s="47" t="s">
        <v>44</v>
      </c>
      <c r="F50" s="48">
        <v>-12.26</v>
      </c>
      <c r="G50" s="47" t="s">
        <v>50</v>
      </c>
      <c r="H50" s="47" t="s">
        <v>15</v>
      </c>
      <c r="I50" s="47"/>
      <c r="J50" s="47" t="s">
        <v>47</v>
      </c>
      <c r="K50" s="42" t="s">
        <v>713</v>
      </c>
    </row>
    <row r="51" spans="1:11" x14ac:dyDescent="0.35">
      <c r="A51" s="1" t="s">
        <v>820</v>
      </c>
      <c r="B51" s="47" t="s">
        <v>818</v>
      </c>
      <c r="C51" s="47" t="s">
        <v>818</v>
      </c>
      <c r="D51" s="47" t="s">
        <v>821</v>
      </c>
      <c r="E51" s="47" t="s">
        <v>44</v>
      </c>
      <c r="F51" s="48">
        <v>16.989999999999998</v>
      </c>
      <c r="G51" s="47" t="s">
        <v>648</v>
      </c>
      <c r="H51" s="47" t="s">
        <v>59</v>
      </c>
      <c r="I51" s="47"/>
      <c r="J51" s="47" t="s">
        <v>822</v>
      </c>
      <c r="K51" s="42" t="s">
        <v>713</v>
      </c>
    </row>
    <row r="52" spans="1:11" x14ac:dyDescent="0.35">
      <c r="A52" s="1" t="s">
        <v>813</v>
      </c>
      <c r="B52" s="47" t="s">
        <v>814</v>
      </c>
      <c r="C52" s="47" t="s">
        <v>806</v>
      </c>
      <c r="D52" s="47" t="s">
        <v>815</v>
      </c>
      <c r="E52" s="47" t="s">
        <v>44</v>
      </c>
      <c r="F52" s="48">
        <v>-4.8</v>
      </c>
      <c r="G52" s="47" t="s">
        <v>73</v>
      </c>
      <c r="H52" s="47" t="s">
        <v>74</v>
      </c>
      <c r="I52" s="47"/>
      <c r="J52" s="47" t="s">
        <v>47</v>
      </c>
      <c r="K52" s="42" t="s">
        <v>713</v>
      </c>
    </row>
    <row r="53" spans="1:11" x14ac:dyDescent="0.35">
      <c r="A53" s="1" t="s">
        <v>816</v>
      </c>
      <c r="B53" s="47" t="s">
        <v>814</v>
      </c>
      <c r="C53" s="47" t="s">
        <v>814</v>
      </c>
      <c r="D53" s="47" t="s">
        <v>211</v>
      </c>
      <c r="E53" s="47" t="s">
        <v>44</v>
      </c>
      <c r="F53" s="48">
        <v>2333.58</v>
      </c>
      <c r="G53" s="47" t="s">
        <v>58</v>
      </c>
      <c r="H53" s="47" t="s">
        <v>59</v>
      </c>
      <c r="I53" s="47"/>
      <c r="J53" s="47" t="s">
        <v>60</v>
      </c>
      <c r="K53" s="42" t="s">
        <v>713</v>
      </c>
    </row>
    <row r="54" spans="1:11" x14ac:dyDescent="0.35">
      <c r="A54" s="1" t="s">
        <v>811</v>
      </c>
      <c r="B54" s="47" t="s">
        <v>812</v>
      </c>
      <c r="C54" s="47" t="s">
        <v>806</v>
      </c>
      <c r="D54" s="47" t="s">
        <v>72</v>
      </c>
      <c r="E54" s="47" t="s">
        <v>44</v>
      </c>
      <c r="F54" s="48">
        <v>-4.8</v>
      </c>
      <c r="G54" s="47" t="s">
        <v>73</v>
      </c>
      <c r="H54" s="47" t="s">
        <v>74</v>
      </c>
      <c r="I54" s="47"/>
      <c r="J54" s="47" t="s">
        <v>47</v>
      </c>
      <c r="K54" s="42" t="s">
        <v>713</v>
      </c>
    </row>
    <row r="55" spans="1:11" x14ac:dyDescent="0.35">
      <c r="A55" s="1" t="s">
        <v>809</v>
      </c>
      <c r="B55" s="47" t="s">
        <v>806</v>
      </c>
      <c r="C55" s="47" t="s">
        <v>806</v>
      </c>
      <c r="D55" s="47" t="s">
        <v>810</v>
      </c>
      <c r="E55" s="47" t="s">
        <v>44</v>
      </c>
      <c r="F55" s="48">
        <v>-881.2</v>
      </c>
      <c r="G55" s="17" t="s">
        <v>1698</v>
      </c>
      <c r="H55" s="17" t="s">
        <v>205</v>
      </c>
      <c r="I55" s="47"/>
      <c r="J55" s="47" t="s">
        <v>79</v>
      </c>
      <c r="K55" s="42" t="s">
        <v>713</v>
      </c>
    </row>
    <row r="56" spans="1:11" x14ac:dyDescent="0.35">
      <c r="A56" s="1" t="s">
        <v>805</v>
      </c>
      <c r="B56" s="47" t="s">
        <v>806</v>
      </c>
      <c r="C56" s="47" t="s">
        <v>806</v>
      </c>
      <c r="D56" s="47" t="s">
        <v>807</v>
      </c>
      <c r="E56" s="47" t="s">
        <v>44</v>
      </c>
      <c r="F56" s="48">
        <v>447.54</v>
      </c>
      <c r="G56" s="47" t="s">
        <v>101</v>
      </c>
      <c r="H56" s="47" t="s">
        <v>59</v>
      </c>
      <c r="I56" s="47"/>
      <c r="J56" s="47" t="s">
        <v>60</v>
      </c>
      <c r="K56" s="42" t="s">
        <v>713</v>
      </c>
    </row>
    <row r="57" spans="1:11" x14ac:dyDescent="0.35">
      <c r="A57" s="6" t="s">
        <v>808</v>
      </c>
      <c r="B57" s="7" t="s">
        <v>806</v>
      </c>
      <c r="C57" s="7" t="s">
        <v>806</v>
      </c>
      <c r="D57" s="7" t="s">
        <v>57</v>
      </c>
      <c r="E57" s="7" t="s">
        <v>44</v>
      </c>
      <c r="F57" s="10">
        <v>1058.42</v>
      </c>
      <c r="G57" s="7" t="s">
        <v>58</v>
      </c>
      <c r="H57" s="7" t="s">
        <v>59</v>
      </c>
      <c r="I57" s="7"/>
      <c r="J57" s="7" t="s">
        <v>60</v>
      </c>
      <c r="K57" s="43" t="s">
        <v>713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204D-F784-48AD-A419-B0DEC95A8397}">
  <dimension ref="A1:F44"/>
  <sheetViews>
    <sheetView workbookViewId="0">
      <selection activeCell="A11" activeCellId="2" sqref="A5 A7:A8 A10:A11 A13:A19 A21 A23 A25 A27 A29:A30 A32 A34:A35 A37 A39:A41 A43"/>
    </sheetView>
  </sheetViews>
  <sheetFormatPr defaultRowHeight="12.75" x14ac:dyDescent="0.35"/>
  <cols>
    <col min="1" max="1" width="31.0664062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-398.15</v>
      </c>
    </row>
    <row r="7" spans="1:2" x14ac:dyDescent="0.35">
      <c r="A7" s="28" t="s">
        <v>340</v>
      </c>
      <c r="B7" s="12">
        <v>-250</v>
      </c>
    </row>
    <row r="8" spans="1:2" x14ac:dyDescent="0.35">
      <c r="A8" s="28" t="s">
        <v>19</v>
      </c>
      <c r="B8" s="12">
        <v>-148.15</v>
      </c>
    </row>
    <row r="9" spans="1:2" x14ac:dyDescent="0.35">
      <c r="A9" s="14" t="s">
        <v>45</v>
      </c>
      <c r="B9" s="12">
        <v>-151.17000000000002</v>
      </c>
    </row>
    <row r="10" spans="1:2" x14ac:dyDescent="0.35">
      <c r="A10" s="28" t="s">
        <v>361</v>
      </c>
      <c r="B10" s="12">
        <v>-16.5</v>
      </c>
    </row>
    <row r="11" spans="1:2" x14ac:dyDescent="0.35">
      <c r="A11" s="28" t="s">
        <v>46</v>
      </c>
      <c r="B11" s="12">
        <v>-134.67000000000002</v>
      </c>
    </row>
    <row r="12" spans="1:2" x14ac:dyDescent="0.35">
      <c r="A12" s="14" t="s">
        <v>50</v>
      </c>
      <c r="B12" s="12">
        <v>-591.89</v>
      </c>
    </row>
    <row r="13" spans="1:2" x14ac:dyDescent="0.35">
      <c r="A13" s="28" t="s">
        <v>165</v>
      </c>
      <c r="B13" s="12">
        <v>-18.98</v>
      </c>
    </row>
    <row r="14" spans="1:2" x14ac:dyDescent="0.35">
      <c r="A14" s="28" t="s">
        <v>15</v>
      </c>
      <c r="B14" s="12">
        <v>-153.23999999999998</v>
      </c>
    </row>
    <row r="15" spans="1:2" x14ac:dyDescent="0.35">
      <c r="A15" s="28" t="s">
        <v>21</v>
      </c>
      <c r="B15" s="12">
        <v>-83.37</v>
      </c>
    </row>
    <row r="16" spans="1:2" x14ac:dyDescent="0.35">
      <c r="A16" s="28" t="s">
        <v>51</v>
      </c>
      <c r="B16" s="12">
        <v>-24.5</v>
      </c>
    </row>
    <row r="17" spans="1:2" x14ac:dyDescent="0.35">
      <c r="A17" s="28" t="s">
        <v>69</v>
      </c>
      <c r="B17" s="12">
        <v>-221.2</v>
      </c>
    </row>
    <row r="18" spans="1:2" x14ac:dyDescent="0.35">
      <c r="A18" s="28" t="s">
        <v>78</v>
      </c>
      <c r="B18" s="12">
        <v>-9.9499999999999993</v>
      </c>
    </row>
    <row r="19" spans="1:2" x14ac:dyDescent="0.35">
      <c r="A19" s="28" t="s">
        <v>19</v>
      </c>
      <c r="B19" s="12">
        <v>-80.650000000000006</v>
      </c>
    </row>
    <row r="20" spans="1:2" x14ac:dyDescent="0.35">
      <c r="A20" s="14" t="s">
        <v>101</v>
      </c>
      <c r="B20" s="12">
        <v>1104.8500000000001</v>
      </c>
    </row>
    <row r="21" spans="1:2" x14ac:dyDescent="0.35">
      <c r="A21" s="28" t="s">
        <v>59</v>
      </c>
      <c r="B21" s="12">
        <v>1104.8500000000001</v>
      </c>
    </row>
    <row r="22" spans="1:2" x14ac:dyDescent="0.35">
      <c r="A22" s="14" t="s">
        <v>58</v>
      </c>
      <c r="B22" s="12">
        <v>7897.13</v>
      </c>
    </row>
    <row r="23" spans="1:2" x14ac:dyDescent="0.35">
      <c r="A23" s="28" t="s">
        <v>59</v>
      </c>
      <c r="B23" s="12">
        <v>7897.13</v>
      </c>
    </row>
    <row r="24" spans="1:2" x14ac:dyDescent="0.35">
      <c r="A24" s="14" t="s">
        <v>648</v>
      </c>
      <c r="B24" s="12">
        <v>16.989999999999998</v>
      </c>
    </row>
    <row r="25" spans="1:2" x14ac:dyDescent="0.35">
      <c r="A25" s="28" t="s">
        <v>59</v>
      </c>
      <c r="B25" s="12">
        <v>16.989999999999998</v>
      </c>
    </row>
    <row r="26" spans="1:2" x14ac:dyDescent="0.35">
      <c r="A26" s="14" t="s">
        <v>251</v>
      </c>
      <c r="B26" s="12">
        <v>-44.8</v>
      </c>
    </row>
    <row r="27" spans="1:2" x14ac:dyDescent="0.35">
      <c r="A27" s="28" t="s">
        <v>288</v>
      </c>
      <c r="B27" s="12">
        <v>-44.8</v>
      </c>
    </row>
    <row r="28" spans="1:2" x14ac:dyDescent="0.35">
      <c r="A28" s="14" t="s">
        <v>90</v>
      </c>
      <c r="B28" s="12">
        <v>-93.97</v>
      </c>
    </row>
    <row r="29" spans="1:2" x14ac:dyDescent="0.35">
      <c r="A29" s="28" t="s">
        <v>106</v>
      </c>
      <c r="B29" s="12">
        <v>-4</v>
      </c>
    </row>
    <row r="30" spans="1:2" x14ac:dyDescent="0.35">
      <c r="A30" s="28" t="s">
        <v>78</v>
      </c>
      <c r="B30" s="12">
        <v>-89.97</v>
      </c>
    </row>
    <row r="31" spans="1:2" x14ac:dyDescent="0.35">
      <c r="A31" s="14" t="s">
        <v>136</v>
      </c>
      <c r="B31" s="12">
        <v>-55.2</v>
      </c>
    </row>
    <row r="32" spans="1:2" x14ac:dyDescent="0.35">
      <c r="A32" s="28" t="s">
        <v>394</v>
      </c>
      <c r="B32" s="12">
        <v>-55.2</v>
      </c>
    </row>
    <row r="33" spans="1:6" x14ac:dyDescent="0.35">
      <c r="A33" s="14" t="s">
        <v>464</v>
      </c>
      <c r="B33" s="12">
        <v>-38.5</v>
      </c>
    </row>
    <row r="34" spans="1:6" x14ac:dyDescent="0.35">
      <c r="A34" s="28" t="s">
        <v>465</v>
      </c>
      <c r="B34" s="12">
        <v>-24</v>
      </c>
    </row>
    <row r="35" spans="1:6" x14ac:dyDescent="0.35">
      <c r="A35" s="28" t="s">
        <v>78</v>
      </c>
      <c r="B35" s="12">
        <v>-14.5</v>
      </c>
    </row>
    <row r="36" spans="1:6" x14ac:dyDescent="0.35">
      <c r="A36" s="14" t="s">
        <v>77</v>
      </c>
      <c r="B36" s="12">
        <v>-58.4</v>
      </c>
    </row>
    <row r="37" spans="1:6" x14ac:dyDescent="0.35">
      <c r="A37" s="28" t="s">
        <v>78</v>
      </c>
      <c r="B37" s="12">
        <v>-58.4</v>
      </c>
    </row>
    <row r="38" spans="1:6" x14ac:dyDescent="0.35">
      <c r="A38" s="14" t="s">
        <v>73</v>
      </c>
      <c r="B38" s="12">
        <v>-97.22</v>
      </c>
    </row>
    <row r="39" spans="1:6" x14ac:dyDescent="0.35">
      <c r="A39" s="28" t="s">
        <v>309</v>
      </c>
      <c r="B39" s="12">
        <v>-25.52</v>
      </c>
    </row>
    <row r="40" spans="1:6" x14ac:dyDescent="0.35">
      <c r="A40" s="28" t="s">
        <v>897</v>
      </c>
      <c r="B40" s="12">
        <v>-28</v>
      </c>
      <c r="F40">
        <v>6277.2699999999995</v>
      </c>
    </row>
    <row r="41" spans="1:6" x14ac:dyDescent="0.35">
      <c r="A41" s="28" t="s">
        <v>74</v>
      </c>
      <c r="B41" s="12">
        <v>-43.699999999999996</v>
      </c>
    </row>
    <row r="42" spans="1:6" x14ac:dyDescent="0.35">
      <c r="A42" s="14" t="s">
        <v>1698</v>
      </c>
      <c r="B42" s="12">
        <v>-881.2</v>
      </c>
    </row>
    <row r="43" spans="1:6" x14ac:dyDescent="0.35">
      <c r="A43" s="28" t="s">
        <v>205</v>
      </c>
      <c r="B43" s="12">
        <v>-881.2</v>
      </c>
    </row>
    <row r="44" spans="1:6" x14ac:dyDescent="0.35">
      <c r="A44" s="14" t="s">
        <v>208</v>
      </c>
      <c r="B44" s="12">
        <v>7158.4700000000012</v>
      </c>
    </row>
  </sheetData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F51B-A665-4187-B344-F9E500831B1B}">
  <dimension ref="A1:K54"/>
  <sheetViews>
    <sheetView workbookViewId="0">
      <selection activeCell="H4" sqref="H4:I4"/>
    </sheetView>
  </sheetViews>
  <sheetFormatPr defaultRowHeight="12.75" x14ac:dyDescent="0.35"/>
  <cols>
    <col min="1" max="1" width="20.59765625" customWidth="1"/>
    <col min="2" max="2" width="16.86328125" customWidth="1"/>
    <col min="3" max="3" width="12.265625" customWidth="1"/>
    <col min="4" max="4" width="13" customWidth="1"/>
    <col min="6" max="7" width="9.59765625" customWidth="1"/>
    <col min="8" max="8" width="11" customWidth="1"/>
    <col min="9" max="9" width="15.3984375" customWidth="1"/>
    <col min="10" max="10" width="26" bestFit="1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5" t="s">
        <v>708</v>
      </c>
    </row>
    <row r="2" spans="1:11" x14ac:dyDescent="0.35">
      <c r="A2" s="1" t="s">
        <v>1019</v>
      </c>
      <c r="B2" s="47" t="s">
        <v>1017</v>
      </c>
      <c r="C2" s="47" t="s">
        <v>1017</v>
      </c>
      <c r="D2" s="47" t="s">
        <v>731</v>
      </c>
      <c r="E2" s="47" t="s">
        <v>44</v>
      </c>
      <c r="F2" s="48">
        <v>-48.5</v>
      </c>
      <c r="G2" s="48"/>
      <c r="H2" s="47" t="s">
        <v>77</v>
      </c>
      <c r="I2" s="47" t="s">
        <v>78</v>
      </c>
      <c r="J2" s="47" t="s">
        <v>79</v>
      </c>
      <c r="K2" s="42" t="s">
        <v>713</v>
      </c>
    </row>
    <row r="3" spans="1:11" x14ac:dyDescent="0.35">
      <c r="A3" s="1" t="s">
        <v>1016</v>
      </c>
      <c r="B3" s="47" t="s">
        <v>1017</v>
      </c>
      <c r="C3" s="47" t="s">
        <v>1013</v>
      </c>
      <c r="D3" s="47" t="s">
        <v>1018</v>
      </c>
      <c r="E3" s="47" t="s">
        <v>44</v>
      </c>
      <c r="F3" s="48">
        <v>-31.7</v>
      </c>
      <c r="G3" s="48"/>
      <c r="H3" s="47" t="s">
        <v>45</v>
      </c>
      <c r="I3" s="47" t="s">
        <v>46</v>
      </c>
      <c r="J3" s="47" t="s">
        <v>47</v>
      </c>
      <c r="K3" s="42" t="s">
        <v>713</v>
      </c>
    </row>
    <row r="4" spans="1:11" x14ac:dyDescent="0.35">
      <c r="A4" s="1" t="s">
        <v>1014</v>
      </c>
      <c r="B4" s="47" t="s">
        <v>1015</v>
      </c>
      <c r="C4" s="47" t="s">
        <v>806</v>
      </c>
      <c r="D4" s="47" t="s">
        <v>393</v>
      </c>
      <c r="E4" s="47" t="s">
        <v>44</v>
      </c>
      <c r="F4" s="48">
        <v>-8.5299999999999994</v>
      </c>
      <c r="G4" s="48"/>
      <c r="H4" s="7" t="s">
        <v>136</v>
      </c>
      <c r="I4" s="7" t="s">
        <v>394</v>
      </c>
      <c r="J4" s="47" t="s">
        <v>395</v>
      </c>
      <c r="K4" s="42" t="s">
        <v>713</v>
      </c>
    </row>
    <row r="5" spans="1:11" x14ac:dyDescent="0.35">
      <c r="A5" s="1" t="s">
        <v>1012</v>
      </c>
      <c r="B5" s="47" t="s">
        <v>1013</v>
      </c>
      <c r="C5" s="47" t="s">
        <v>1013</v>
      </c>
      <c r="D5" s="47" t="s">
        <v>731</v>
      </c>
      <c r="E5" s="47" t="s">
        <v>44</v>
      </c>
      <c r="F5" s="48">
        <v>-3</v>
      </c>
      <c r="G5" s="48"/>
      <c r="H5" s="47" t="s">
        <v>77</v>
      </c>
      <c r="I5" s="47" t="s">
        <v>78</v>
      </c>
      <c r="J5" s="47" t="s">
        <v>79</v>
      </c>
      <c r="K5" s="42" t="s">
        <v>713</v>
      </c>
    </row>
    <row r="6" spans="1:11" x14ac:dyDescent="0.35">
      <c r="A6" s="1" t="s">
        <v>1011</v>
      </c>
      <c r="B6" s="47" t="s">
        <v>1006</v>
      </c>
      <c r="C6" s="47" t="s">
        <v>1007</v>
      </c>
      <c r="D6" s="47" t="s">
        <v>86</v>
      </c>
      <c r="E6" s="47" t="s">
        <v>44</v>
      </c>
      <c r="F6" s="48">
        <v>-152.85</v>
      </c>
      <c r="G6" s="48"/>
      <c r="H6" s="47" t="s">
        <v>50</v>
      </c>
      <c r="I6" s="47" t="s">
        <v>19</v>
      </c>
      <c r="J6" s="47" t="s">
        <v>47</v>
      </c>
      <c r="K6" s="42" t="s">
        <v>713</v>
      </c>
    </row>
    <row r="7" spans="1:11" x14ac:dyDescent="0.35">
      <c r="A7" s="1" t="s">
        <v>1010</v>
      </c>
      <c r="B7" s="47" t="s">
        <v>1006</v>
      </c>
      <c r="C7" s="47" t="s">
        <v>1007</v>
      </c>
      <c r="D7" s="47" t="s">
        <v>151</v>
      </c>
      <c r="E7" s="47" t="s">
        <v>44</v>
      </c>
      <c r="F7" s="48">
        <v>-36.86</v>
      </c>
      <c r="G7" s="48"/>
      <c r="H7" s="47" t="s">
        <v>50</v>
      </c>
      <c r="I7" s="47" t="s">
        <v>15</v>
      </c>
      <c r="J7" s="47" t="s">
        <v>47</v>
      </c>
      <c r="K7" s="42" t="s">
        <v>713</v>
      </c>
    </row>
    <row r="8" spans="1:11" x14ac:dyDescent="0.35">
      <c r="A8" s="1" t="s">
        <v>1005</v>
      </c>
      <c r="B8" s="47" t="s">
        <v>1006</v>
      </c>
      <c r="C8" s="47" t="s">
        <v>1007</v>
      </c>
      <c r="D8" s="47" t="s">
        <v>1008</v>
      </c>
      <c r="E8" s="47" t="s">
        <v>44</v>
      </c>
      <c r="F8" s="48">
        <v>-24.5</v>
      </c>
      <c r="G8" s="48"/>
      <c r="H8" s="47" t="s">
        <v>45</v>
      </c>
      <c r="I8" s="47" t="s">
        <v>46</v>
      </c>
      <c r="J8" s="47" t="s">
        <v>47</v>
      </c>
      <c r="K8" s="42" t="s">
        <v>713</v>
      </c>
    </row>
    <row r="9" spans="1:11" x14ac:dyDescent="0.35">
      <c r="A9" s="1" t="s">
        <v>1009</v>
      </c>
      <c r="B9" s="47" t="s">
        <v>1006</v>
      </c>
      <c r="C9" s="47" t="s">
        <v>806</v>
      </c>
      <c r="D9" s="47" t="s">
        <v>401</v>
      </c>
      <c r="E9" s="47" t="s">
        <v>44</v>
      </c>
      <c r="F9" s="48">
        <v>-4.5</v>
      </c>
      <c r="G9" s="48"/>
      <c r="H9" s="47" t="s">
        <v>136</v>
      </c>
      <c r="I9" s="47" t="s">
        <v>402</v>
      </c>
      <c r="J9" s="47" t="s">
        <v>403</v>
      </c>
      <c r="K9" s="42" t="s">
        <v>713</v>
      </c>
    </row>
    <row r="10" spans="1:11" x14ac:dyDescent="0.35">
      <c r="A10" s="1" t="s">
        <v>1003</v>
      </c>
      <c r="B10" s="47" t="s">
        <v>1004</v>
      </c>
      <c r="C10" s="47" t="s">
        <v>997</v>
      </c>
      <c r="D10" s="47" t="s">
        <v>63</v>
      </c>
      <c r="E10" s="47" t="s">
        <v>44</v>
      </c>
      <c r="F10" s="48">
        <v>-8.75</v>
      </c>
      <c r="G10" s="48"/>
      <c r="H10" s="47" t="s">
        <v>50</v>
      </c>
      <c r="I10" s="47" t="s">
        <v>15</v>
      </c>
      <c r="J10" s="47" t="s">
        <v>47</v>
      </c>
      <c r="K10" s="42" t="s">
        <v>713</v>
      </c>
    </row>
    <row r="11" spans="1:11" x14ac:dyDescent="0.35">
      <c r="A11" s="1" t="s">
        <v>1002</v>
      </c>
      <c r="B11" s="47" t="s">
        <v>1001</v>
      </c>
      <c r="C11" s="47" t="s">
        <v>997</v>
      </c>
      <c r="D11" s="47" t="s">
        <v>254</v>
      </c>
      <c r="E11" s="47" t="s">
        <v>44</v>
      </c>
      <c r="F11" s="48">
        <v>-20.95</v>
      </c>
      <c r="G11" s="48"/>
      <c r="H11" s="47" t="s">
        <v>50</v>
      </c>
      <c r="I11" s="47" t="s">
        <v>15</v>
      </c>
      <c r="J11" s="47" t="s">
        <v>47</v>
      </c>
      <c r="K11" s="42" t="s">
        <v>713</v>
      </c>
    </row>
    <row r="12" spans="1:11" x14ac:dyDescent="0.35">
      <c r="A12" s="1" t="s">
        <v>1000</v>
      </c>
      <c r="B12" s="47" t="s">
        <v>1001</v>
      </c>
      <c r="C12" s="47" t="s">
        <v>997</v>
      </c>
      <c r="D12" s="47" t="s">
        <v>254</v>
      </c>
      <c r="E12" s="47" t="s">
        <v>44</v>
      </c>
      <c r="F12" s="48">
        <v>-0.9</v>
      </c>
      <c r="G12" s="48"/>
      <c r="H12" s="47" t="s">
        <v>50</v>
      </c>
      <c r="I12" s="47" t="s">
        <v>15</v>
      </c>
      <c r="J12" s="47" t="s">
        <v>47</v>
      </c>
      <c r="K12" s="42" t="s">
        <v>713</v>
      </c>
    </row>
    <row r="13" spans="1:11" x14ac:dyDescent="0.35">
      <c r="A13" s="1" t="s">
        <v>999</v>
      </c>
      <c r="B13" s="47" t="s">
        <v>997</v>
      </c>
      <c r="C13" s="47" t="s">
        <v>997</v>
      </c>
      <c r="D13" s="47" t="s">
        <v>731</v>
      </c>
      <c r="E13" s="47" t="s">
        <v>44</v>
      </c>
      <c r="F13" s="48">
        <v>-75</v>
      </c>
      <c r="G13" s="48"/>
      <c r="H13" s="47" t="s">
        <v>77</v>
      </c>
      <c r="I13" s="47" t="s">
        <v>78</v>
      </c>
      <c r="J13" s="47" t="s">
        <v>79</v>
      </c>
      <c r="K13" s="42" t="s">
        <v>713</v>
      </c>
    </row>
    <row r="14" spans="1:11" x14ac:dyDescent="0.35">
      <c r="A14" s="1" t="s">
        <v>996</v>
      </c>
      <c r="B14" s="47" t="s">
        <v>997</v>
      </c>
      <c r="C14" s="47" t="s">
        <v>997</v>
      </c>
      <c r="D14" s="47" t="s">
        <v>998</v>
      </c>
      <c r="E14" s="47" t="s">
        <v>44</v>
      </c>
      <c r="F14" s="48">
        <v>550</v>
      </c>
      <c r="G14" s="48"/>
      <c r="H14" s="47" t="s">
        <v>176</v>
      </c>
      <c r="I14" s="47" t="s">
        <v>59</v>
      </c>
      <c r="J14" s="47" t="s">
        <v>60</v>
      </c>
      <c r="K14" s="42" t="s">
        <v>713</v>
      </c>
    </row>
    <row r="15" spans="1:11" x14ac:dyDescent="0.35">
      <c r="A15" s="1" t="s">
        <v>991</v>
      </c>
      <c r="B15" s="47" t="s">
        <v>992</v>
      </c>
      <c r="C15" s="47" t="s">
        <v>988</v>
      </c>
      <c r="D15" s="47" t="s">
        <v>993</v>
      </c>
      <c r="E15" s="47" t="s">
        <v>44</v>
      </c>
      <c r="F15" s="48">
        <v>-32.5</v>
      </c>
      <c r="G15" s="48"/>
      <c r="H15" s="47" t="s">
        <v>45</v>
      </c>
      <c r="I15" s="47" t="s">
        <v>46</v>
      </c>
      <c r="J15" s="47" t="s">
        <v>47</v>
      </c>
      <c r="K15" s="42" t="s">
        <v>713</v>
      </c>
    </row>
    <row r="16" spans="1:11" x14ac:dyDescent="0.35">
      <c r="A16" s="1" t="s">
        <v>994</v>
      </c>
      <c r="B16" s="47" t="s">
        <v>992</v>
      </c>
      <c r="C16" s="47" t="s">
        <v>992</v>
      </c>
      <c r="D16" s="47" t="s">
        <v>995</v>
      </c>
      <c r="E16" s="47" t="s">
        <v>44</v>
      </c>
      <c r="F16" s="48">
        <v>3000</v>
      </c>
      <c r="G16" s="48" t="s">
        <v>97</v>
      </c>
      <c r="H16" s="47" t="s">
        <v>101</v>
      </c>
      <c r="I16" s="47" t="s">
        <v>59</v>
      </c>
      <c r="J16" s="47" t="s">
        <v>60</v>
      </c>
      <c r="K16" s="42" t="s">
        <v>713</v>
      </c>
    </row>
    <row r="17" spans="1:11" x14ac:dyDescent="0.35">
      <c r="A17" s="1" t="s">
        <v>989</v>
      </c>
      <c r="B17" s="47" t="s">
        <v>990</v>
      </c>
      <c r="C17" s="47" t="s">
        <v>988</v>
      </c>
      <c r="D17" s="47" t="s">
        <v>164</v>
      </c>
      <c r="E17" s="47" t="s">
        <v>44</v>
      </c>
      <c r="F17" s="48">
        <v>-18.98</v>
      </c>
      <c r="G17" s="48"/>
      <c r="H17" s="47" t="s">
        <v>50</v>
      </c>
      <c r="I17" s="47" t="s">
        <v>165</v>
      </c>
      <c r="J17" s="47" t="s">
        <v>91</v>
      </c>
      <c r="K17" s="42" t="s">
        <v>713</v>
      </c>
    </row>
    <row r="18" spans="1:11" x14ac:dyDescent="0.35">
      <c r="A18" s="1" t="s">
        <v>987</v>
      </c>
      <c r="B18" s="47" t="s">
        <v>988</v>
      </c>
      <c r="C18" s="47" t="s">
        <v>977</v>
      </c>
      <c r="D18" s="47" t="s">
        <v>63</v>
      </c>
      <c r="E18" s="47" t="s">
        <v>44</v>
      </c>
      <c r="F18" s="48">
        <v>-13.22</v>
      </c>
      <c r="G18" s="48"/>
      <c r="H18" s="47" t="s">
        <v>50</v>
      </c>
      <c r="I18" s="47" t="s">
        <v>15</v>
      </c>
      <c r="J18" s="47" t="s">
        <v>47</v>
      </c>
      <c r="K18" s="42" t="s">
        <v>713</v>
      </c>
    </row>
    <row r="19" spans="1:11" x14ac:dyDescent="0.35">
      <c r="A19" s="1" t="s">
        <v>985</v>
      </c>
      <c r="B19" s="47" t="s">
        <v>982</v>
      </c>
      <c r="C19" s="47" t="s">
        <v>983</v>
      </c>
      <c r="D19" s="47" t="s">
        <v>986</v>
      </c>
      <c r="E19" s="47" t="s">
        <v>44</v>
      </c>
      <c r="F19" s="48">
        <v>-28</v>
      </c>
      <c r="G19" s="48"/>
      <c r="H19" s="47" t="s">
        <v>90</v>
      </c>
      <c r="I19" s="47" t="s">
        <v>78</v>
      </c>
      <c r="J19" s="47" t="s">
        <v>47</v>
      </c>
      <c r="K19" s="42" t="s">
        <v>713</v>
      </c>
    </row>
    <row r="20" spans="1:11" x14ac:dyDescent="0.35">
      <c r="A20" s="1" t="s">
        <v>981</v>
      </c>
      <c r="B20" s="47" t="s">
        <v>982</v>
      </c>
      <c r="C20" s="47" t="s">
        <v>983</v>
      </c>
      <c r="D20" s="47" t="s">
        <v>984</v>
      </c>
      <c r="E20" s="47" t="s">
        <v>44</v>
      </c>
      <c r="F20" s="48">
        <v>-23.33</v>
      </c>
      <c r="G20" s="48"/>
      <c r="H20" s="47" t="s">
        <v>45</v>
      </c>
      <c r="I20" s="47" t="s">
        <v>46</v>
      </c>
      <c r="J20" s="47" t="s">
        <v>47</v>
      </c>
      <c r="K20" s="42" t="s">
        <v>713</v>
      </c>
    </row>
    <row r="21" spans="1:11" x14ac:dyDescent="0.35">
      <c r="A21" s="1" t="s">
        <v>976</v>
      </c>
      <c r="B21" s="47" t="s">
        <v>977</v>
      </c>
      <c r="C21" s="47" t="s">
        <v>972</v>
      </c>
      <c r="D21" s="47" t="s">
        <v>978</v>
      </c>
      <c r="E21" s="47" t="s">
        <v>44</v>
      </c>
      <c r="F21" s="48">
        <v>-21</v>
      </c>
      <c r="G21" s="48"/>
      <c r="H21" s="47" t="s">
        <v>45</v>
      </c>
      <c r="I21" s="47" t="s">
        <v>46</v>
      </c>
      <c r="J21" s="47" t="s">
        <v>47</v>
      </c>
      <c r="K21" s="42" t="s">
        <v>713</v>
      </c>
    </row>
    <row r="22" spans="1:11" x14ac:dyDescent="0.35">
      <c r="A22" s="1" t="s">
        <v>979</v>
      </c>
      <c r="B22" s="47" t="s">
        <v>977</v>
      </c>
      <c r="C22" s="47" t="s">
        <v>972</v>
      </c>
      <c r="D22" s="47" t="s">
        <v>121</v>
      </c>
      <c r="E22" s="47" t="s">
        <v>44</v>
      </c>
      <c r="F22" s="48">
        <v>-7.71</v>
      </c>
      <c r="G22" s="48"/>
      <c r="H22" s="47" t="s">
        <v>50</v>
      </c>
      <c r="I22" s="47" t="s">
        <v>15</v>
      </c>
      <c r="J22" s="47" t="s">
        <v>47</v>
      </c>
      <c r="K22" s="42" t="s">
        <v>713</v>
      </c>
    </row>
    <row r="23" spans="1:11" x14ac:dyDescent="0.35">
      <c r="A23" s="1" t="s">
        <v>980</v>
      </c>
      <c r="B23" s="47" t="s">
        <v>977</v>
      </c>
      <c r="C23" s="47" t="s">
        <v>972</v>
      </c>
      <c r="D23" s="47" t="s">
        <v>226</v>
      </c>
      <c r="E23" s="47" t="s">
        <v>44</v>
      </c>
      <c r="F23" s="48">
        <v>-0.9</v>
      </c>
      <c r="G23" s="48"/>
      <c r="H23" s="47" t="s">
        <v>73</v>
      </c>
      <c r="I23" s="47" t="s">
        <v>112</v>
      </c>
      <c r="J23" s="47" t="s">
        <v>47</v>
      </c>
      <c r="K23" s="42" t="s">
        <v>713</v>
      </c>
    </row>
    <row r="24" spans="1:11" x14ac:dyDescent="0.35">
      <c r="A24" s="1" t="s">
        <v>971</v>
      </c>
      <c r="B24" s="47" t="s">
        <v>972</v>
      </c>
      <c r="C24" s="47" t="s">
        <v>966</v>
      </c>
      <c r="D24" s="47" t="s">
        <v>973</v>
      </c>
      <c r="E24" s="47" t="s">
        <v>44</v>
      </c>
      <c r="F24" s="48">
        <v>-26.01</v>
      </c>
      <c r="G24" s="48"/>
      <c r="H24" s="47" t="s">
        <v>73</v>
      </c>
      <c r="I24" s="47" t="s">
        <v>309</v>
      </c>
      <c r="J24" s="47" t="s">
        <v>47</v>
      </c>
      <c r="K24" s="42" t="s">
        <v>713</v>
      </c>
    </row>
    <row r="25" spans="1:11" x14ac:dyDescent="0.35">
      <c r="A25" s="1" t="s">
        <v>974</v>
      </c>
      <c r="B25" s="47" t="s">
        <v>972</v>
      </c>
      <c r="C25" s="47" t="s">
        <v>972</v>
      </c>
      <c r="D25" s="47" t="s">
        <v>975</v>
      </c>
      <c r="E25" s="47" t="s">
        <v>44</v>
      </c>
      <c r="F25" s="48">
        <v>133.77000000000001</v>
      </c>
      <c r="G25" s="48" t="s">
        <v>97</v>
      </c>
      <c r="H25" s="47" t="s">
        <v>648</v>
      </c>
      <c r="I25" s="47" t="s">
        <v>59</v>
      </c>
      <c r="J25" s="47" t="s">
        <v>60</v>
      </c>
      <c r="K25" s="42" t="s">
        <v>713</v>
      </c>
    </row>
    <row r="26" spans="1:11" x14ac:dyDescent="0.35">
      <c r="A26" s="1" t="s">
        <v>967</v>
      </c>
      <c r="B26" s="47" t="s">
        <v>966</v>
      </c>
      <c r="C26" s="47" t="s">
        <v>963</v>
      </c>
      <c r="D26" s="47" t="s">
        <v>168</v>
      </c>
      <c r="E26" s="47" t="s">
        <v>44</v>
      </c>
      <c r="F26" s="48">
        <v>-201.88</v>
      </c>
      <c r="G26" s="48"/>
      <c r="H26" s="47" t="s">
        <v>90</v>
      </c>
      <c r="I26" s="47" t="s">
        <v>570</v>
      </c>
      <c r="J26" s="47" t="s">
        <v>47</v>
      </c>
      <c r="K26" s="42" t="s">
        <v>713</v>
      </c>
    </row>
    <row r="27" spans="1:11" x14ac:dyDescent="0.35">
      <c r="A27" s="1" t="s">
        <v>968</v>
      </c>
      <c r="B27" s="47" t="s">
        <v>966</v>
      </c>
      <c r="C27" s="47" t="s">
        <v>963</v>
      </c>
      <c r="D27" s="47" t="s">
        <v>86</v>
      </c>
      <c r="E27" s="47" t="s">
        <v>44</v>
      </c>
      <c r="F27" s="48">
        <v>-102.8</v>
      </c>
      <c r="G27" s="48"/>
      <c r="H27" s="47" t="s">
        <v>50</v>
      </c>
      <c r="I27" s="47" t="s">
        <v>19</v>
      </c>
      <c r="J27" s="47" t="s">
        <v>47</v>
      </c>
      <c r="K27" s="42" t="s">
        <v>713</v>
      </c>
    </row>
    <row r="28" spans="1:11" x14ac:dyDescent="0.35">
      <c r="A28" s="1" t="s">
        <v>965</v>
      </c>
      <c r="B28" s="47" t="s">
        <v>966</v>
      </c>
      <c r="C28" s="47" t="s">
        <v>963</v>
      </c>
      <c r="D28" s="47" t="s">
        <v>168</v>
      </c>
      <c r="E28" s="47" t="s">
        <v>44</v>
      </c>
      <c r="F28" s="48">
        <v>-34.99</v>
      </c>
      <c r="G28" s="48"/>
      <c r="H28" s="47" t="s">
        <v>90</v>
      </c>
      <c r="I28" s="47" t="s">
        <v>570</v>
      </c>
      <c r="J28" s="47" t="s">
        <v>47</v>
      </c>
      <c r="K28" s="42" t="s">
        <v>713</v>
      </c>
    </row>
    <row r="29" spans="1:11" x14ac:dyDescent="0.35">
      <c r="A29" s="1" t="s">
        <v>970</v>
      </c>
      <c r="B29" s="47" t="s">
        <v>966</v>
      </c>
      <c r="C29" s="47" t="s">
        <v>963</v>
      </c>
      <c r="D29" s="47" t="s">
        <v>121</v>
      </c>
      <c r="E29" s="47" t="s">
        <v>44</v>
      </c>
      <c r="F29" s="48">
        <v>-6.38</v>
      </c>
      <c r="G29" s="48"/>
      <c r="H29" s="47" t="s">
        <v>50</v>
      </c>
      <c r="I29" s="47" t="s">
        <v>15</v>
      </c>
      <c r="J29" s="47" t="s">
        <v>47</v>
      </c>
      <c r="K29" s="42" t="s">
        <v>713</v>
      </c>
    </row>
    <row r="30" spans="1:11" x14ac:dyDescent="0.35">
      <c r="A30" s="1" t="s">
        <v>969</v>
      </c>
      <c r="B30" s="47" t="s">
        <v>966</v>
      </c>
      <c r="C30" s="47" t="s">
        <v>963</v>
      </c>
      <c r="D30" s="47" t="s">
        <v>773</v>
      </c>
      <c r="E30" s="47" t="s">
        <v>44</v>
      </c>
      <c r="F30" s="48">
        <v>-0.4</v>
      </c>
      <c r="G30" s="48"/>
      <c r="H30" s="47" t="s">
        <v>73</v>
      </c>
      <c r="I30" s="47" t="s">
        <v>112</v>
      </c>
      <c r="J30" s="47" t="s">
        <v>47</v>
      </c>
      <c r="K30" s="42" t="s">
        <v>713</v>
      </c>
    </row>
    <row r="31" spans="1:11" x14ac:dyDescent="0.35">
      <c r="A31" s="1" t="s">
        <v>962</v>
      </c>
      <c r="B31" s="47" t="s">
        <v>963</v>
      </c>
      <c r="C31" s="47" t="s">
        <v>960</v>
      </c>
      <c r="D31" s="47" t="s">
        <v>964</v>
      </c>
      <c r="E31" s="47" t="s">
        <v>44</v>
      </c>
      <c r="F31" s="48">
        <v>-17</v>
      </c>
      <c r="G31" s="48"/>
      <c r="H31" s="47" t="s">
        <v>45</v>
      </c>
      <c r="I31" s="47" t="s">
        <v>46</v>
      </c>
      <c r="J31" s="47" t="s">
        <v>47</v>
      </c>
      <c r="K31" s="42" t="s">
        <v>713</v>
      </c>
    </row>
    <row r="32" spans="1:11" x14ac:dyDescent="0.35">
      <c r="A32" s="1" t="s">
        <v>959</v>
      </c>
      <c r="B32" s="47" t="s">
        <v>960</v>
      </c>
      <c r="C32" s="47" t="s">
        <v>943</v>
      </c>
      <c r="D32" s="47" t="s">
        <v>961</v>
      </c>
      <c r="E32" s="47" t="s">
        <v>44</v>
      </c>
      <c r="F32" s="48">
        <v>-50.57</v>
      </c>
      <c r="G32" s="48"/>
      <c r="H32" s="47" t="s">
        <v>90</v>
      </c>
      <c r="I32" s="47" t="s">
        <v>78</v>
      </c>
      <c r="J32" s="47" t="s">
        <v>47</v>
      </c>
      <c r="K32" s="42" t="s">
        <v>713</v>
      </c>
    </row>
    <row r="33" spans="1:11" x14ac:dyDescent="0.35">
      <c r="A33" s="1" t="s">
        <v>957</v>
      </c>
      <c r="B33" s="47" t="s">
        <v>955</v>
      </c>
      <c r="C33" s="47" t="s">
        <v>934</v>
      </c>
      <c r="D33" s="47" t="s">
        <v>958</v>
      </c>
      <c r="E33" s="47" t="s">
        <v>44</v>
      </c>
      <c r="F33" s="48">
        <v>-13.98</v>
      </c>
      <c r="G33" s="48"/>
      <c r="H33" s="47" t="s">
        <v>90</v>
      </c>
      <c r="I33" s="47" t="s">
        <v>539</v>
      </c>
      <c r="J33" s="47" t="s">
        <v>47</v>
      </c>
      <c r="K33" s="42" t="s">
        <v>713</v>
      </c>
    </row>
    <row r="34" spans="1:11" x14ac:dyDescent="0.35">
      <c r="A34" s="1" t="s">
        <v>954</v>
      </c>
      <c r="B34" s="47" t="s">
        <v>955</v>
      </c>
      <c r="C34" s="47" t="s">
        <v>934</v>
      </c>
      <c r="D34" s="47" t="s">
        <v>956</v>
      </c>
      <c r="E34" s="47" t="s">
        <v>44</v>
      </c>
      <c r="F34" s="48">
        <v>-7.96</v>
      </c>
      <c r="G34" s="48"/>
      <c r="H34" s="47" t="s">
        <v>50</v>
      </c>
      <c r="I34" s="47" t="s">
        <v>15</v>
      </c>
      <c r="J34" s="47" t="s">
        <v>47</v>
      </c>
      <c r="K34" s="42" t="s">
        <v>713</v>
      </c>
    </row>
    <row r="35" spans="1:11" x14ac:dyDescent="0.35">
      <c r="A35" s="1" t="s">
        <v>950</v>
      </c>
      <c r="B35" s="47" t="s">
        <v>943</v>
      </c>
      <c r="C35" s="47" t="s">
        <v>934</v>
      </c>
      <c r="D35" s="47" t="s">
        <v>949</v>
      </c>
      <c r="E35" s="47" t="s">
        <v>44</v>
      </c>
      <c r="F35" s="48">
        <v>-30.19</v>
      </c>
      <c r="G35" s="48"/>
      <c r="H35" s="47" t="s">
        <v>90</v>
      </c>
      <c r="I35" s="47" t="s">
        <v>106</v>
      </c>
      <c r="J35" s="47" t="s">
        <v>47</v>
      </c>
      <c r="K35" s="42" t="s">
        <v>713</v>
      </c>
    </row>
    <row r="36" spans="1:11" x14ac:dyDescent="0.35">
      <c r="A36" s="1" t="s">
        <v>947</v>
      </c>
      <c r="B36" s="47" t="s">
        <v>943</v>
      </c>
      <c r="C36" s="47" t="s">
        <v>934</v>
      </c>
      <c r="D36" s="47" t="s">
        <v>944</v>
      </c>
      <c r="E36" s="47" t="s">
        <v>44</v>
      </c>
      <c r="F36" s="48">
        <v>-24.99</v>
      </c>
      <c r="G36" s="48"/>
      <c r="H36" s="47" t="s">
        <v>90</v>
      </c>
      <c r="I36" s="47" t="s">
        <v>106</v>
      </c>
      <c r="J36" s="47" t="s">
        <v>47</v>
      </c>
      <c r="K36" s="42" t="s">
        <v>713</v>
      </c>
    </row>
    <row r="37" spans="1:11" x14ac:dyDescent="0.35">
      <c r="A37" s="1" t="s">
        <v>948</v>
      </c>
      <c r="B37" s="47" t="s">
        <v>943</v>
      </c>
      <c r="C37" s="47" t="s">
        <v>934</v>
      </c>
      <c r="D37" s="47" t="s">
        <v>949</v>
      </c>
      <c r="E37" s="47" t="s">
        <v>44</v>
      </c>
      <c r="F37" s="48">
        <v>-23.99</v>
      </c>
      <c r="G37" s="48"/>
      <c r="H37" s="47" t="s">
        <v>90</v>
      </c>
      <c r="I37" s="47" t="s">
        <v>106</v>
      </c>
      <c r="J37" s="47" t="s">
        <v>47</v>
      </c>
      <c r="K37" s="42" t="s">
        <v>713</v>
      </c>
    </row>
    <row r="38" spans="1:11" x14ac:dyDescent="0.35">
      <c r="A38" s="1" t="s">
        <v>951</v>
      </c>
      <c r="B38" s="47" t="s">
        <v>943</v>
      </c>
      <c r="C38" s="47" t="s">
        <v>934</v>
      </c>
      <c r="D38" s="47" t="s">
        <v>378</v>
      </c>
      <c r="E38" s="47" t="s">
        <v>44</v>
      </c>
      <c r="F38" s="48">
        <v>-20.03</v>
      </c>
      <c r="G38" s="48"/>
      <c r="H38" s="47" t="s">
        <v>50</v>
      </c>
      <c r="I38" s="47" t="s">
        <v>15</v>
      </c>
      <c r="J38" s="47" t="s">
        <v>47</v>
      </c>
      <c r="K38" s="42" t="s">
        <v>713</v>
      </c>
    </row>
    <row r="39" spans="1:11" x14ac:dyDescent="0.35">
      <c r="A39" s="1" t="s">
        <v>952</v>
      </c>
      <c r="B39" s="47" t="s">
        <v>943</v>
      </c>
      <c r="C39" s="47" t="s">
        <v>925</v>
      </c>
      <c r="D39" s="47" t="s">
        <v>89</v>
      </c>
      <c r="E39" s="47" t="s">
        <v>44</v>
      </c>
      <c r="F39" s="48">
        <v>-10.75</v>
      </c>
      <c r="G39" s="48"/>
      <c r="H39" s="47" t="s">
        <v>90</v>
      </c>
      <c r="I39" s="47" t="s">
        <v>78</v>
      </c>
      <c r="J39" s="47" t="s">
        <v>91</v>
      </c>
      <c r="K39" s="42" t="s">
        <v>713</v>
      </c>
    </row>
    <row r="40" spans="1:11" x14ac:dyDescent="0.35">
      <c r="A40" s="1" t="s">
        <v>945</v>
      </c>
      <c r="B40" s="47" t="s">
        <v>943</v>
      </c>
      <c r="C40" s="47" t="s">
        <v>934</v>
      </c>
      <c r="D40" s="47" t="s">
        <v>946</v>
      </c>
      <c r="E40" s="47" t="s">
        <v>44</v>
      </c>
      <c r="F40" s="48">
        <v>-9.9700000000000006</v>
      </c>
      <c r="G40" s="48"/>
      <c r="H40" s="47" t="s">
        <v>90</v>
      </c>
      <c r="I40" s="47" t="s">
        <v>106</v>
      </c>
      <c r="J40" s="47" t="s">
        <v>47</v>
      </c>
      <c r="K40" s="42" t="s">
        <v>713</v>
      </c>
    </row>
    <row r="41" spans="1:11" x14ac:dyDescent="0.35">
      <c r="A41" s="1" t="s">
        <v>942</v>
      </c>
      <c r="B41" s="47" t="s">
        <v>943</v>
      </c>
      <c r="C41" s="47" t="s">
        <v>934</v>
      </c>
      <c r="D41" s="47" t="s">
        <v>944</v>
      </c>
      <c r="E41" s="47" t="s">
        <v>44</v>
      </c>
      <c r="F41" s="48">
        <v>-7</v>
      </c>
      <c r="G41" s="48"/>
      <c r="H41" s="47" t="s">
        <v>90</v>
      </c>
      <c r="I41" s="47" t="s">
        <v>106</v>
      </c>
      <c r="J41" s="47" t="s">
        <v>47</v>
      </c>
      <c r="K41" s="42" t="s">
        <v>713</v>
      </c>
    </row>
    <row r="42" spans="1:11" x14ac:dyDescent="0.35">
      <c r="A42" s="1" t="s">
        <v>953</v>
      </c>
      <c r="B42" s="47" t="s">
        <v>943</v>
      </c>
      <c r="C42" s="47" t="s">
        <v>943</v>
      </c>
      <c r="D42" s="47" t="s">
        <v>211</v>
      </c>
      <c r="E42" s="47" t="s">
        <v>44</v>
      </c>
      <c r="F42" s="48">
        <v>9986.11</v>
      </c>
      <c r="G42" s="48"/>
      <c r="H42" s="47" t="s">
        <v>58</v>
      </c>
      <c r="I42" s="47" t="s">
        <v>59</v>
      </c>
      <c r="J42" s="47" t="s">
        <v>60</v>
      </c>
      <c r="K42" s="42" t="s">
        <v>713</v>
      </c>
    </row>
    <row r="43" spans="1:11" x14ac:dyDescent="0.35">
      <c r="A43" s="1" t="s">
        <v>941</v>
      </c>
      <c r="B43" s="47" t="s">
        <v>940</v>
      </c>
      <c r="C43" s="47" t="s">
        <v>934</v>
      </c>
      <c r="D43" s="47" t="s">
        <v>707</v>
      </c>
      <c r="E43" s="47" t="s">
        <v>44</v>
      </c>
      <c r="F43" s="48">
        <v>-12</v>
      </c>
      <c r="G43" s="48"/>
      <c r="H43" s="47" t="s">
        <v>45</v>
      </c>
      <c r="I43" s="47" t="s">
        <v>361</v>
      </c>
      <c r="J43" s="47" t="s">
        <v>47</v>
      </c>
      <c r="K43" s="42" t="s">
        <v>713</v>
      </c>
    </row>
    <row r="44" spans="1:11" x14ac:dyDescent="0.35">
      <c r="A44" s="1" t="s">
        <v>939</v>
      </c>
      <c r="B44" s="47" t="s">
        <v>940</v>
      </c>
      <c r="C44" s="47" t="s">
        <v>931</v>
      </c>
      <c r="D44" s="47" t="s">
        <v>63</v>
      </c>
      <c r="E44" s="47" t="s">
        <v>44</v>
      </c>
      <c r="F44" s="48">
        <v>-8.4499999999999993</v>
      </c>
      <c r="G44" s="48"/>
      <c r="H44" s="47" t="s">
        <v>50</v>
      </c>
      <c r="I44" s="47" t="s">
        <v>15</v>
      </c>
      <c r="J44" s="47" t="s">
        <v>47</v>
      </c>
      <c r="K44" s="42" t="s">
        <v>713</v>
      </c>
    </row>
    <row r="45" spans="1:11" x14ac:dyDescent="0.35">
      <c r="A45" s="1" t="s">
        <v>936</v>
      </c>
      <c r="B45" s="47" t="s">
        <v>937</v>
      </c>
      <c r="C45" s="47" t="s">
        <v>931</v>
      </c>
      <c r="D45" s="47" t="s">
        <v>938</v>
      </c>
      <c r="E45" s="47" t="s">
        <v>44</v>
      </c>
      <c r="F45" s="48">
        <v>-25.5</v>
      </c>
      <c r="G45" s="48"/>
      <c r="H45" s="47" t="s">
        <v>45</v>
      </c>
      <c r="I45" s="47" t="s">
        <v>46</v>
      </c>
      <c r="J45" s="47" t="s">
        <v>47</v>
      </c>
      <c r="K45" s="42" t="s">
        <v>713</v>
      </c>
    </row>
    <row r="46" spans="1:11" x14ac:dyDescent="0.35">
      <c r="A46" s="1" t="s">
        <v>933</v>
      </c>
      <c r="B46" s="47" t="s">
        <v>934</v>
      </c>
      <c r="C46" s="47" t="s">
        <v>934</v>
      </c>
      <c r="D46" s="47" t="s">
        <v>96</v>
      </c>
      <c r="E46" s="47" t="s">
        <v>44</v>
      </c>
      <c r="F46" s="48">
        <v>-4000</v>
      </c>
      <c r="G46" s="48" t="s">
        <v>97</v>
      </c>
      <c r="H46" s="47" t="s">
        <v>77</v>
      </c>
      <c r="I46" s="47" t="s">
        <v>765</v>
      </c>
      <c r="J46" s="47" t="s">
        <v>60</v>
      </c>
      <c r="K46" s="42" t="s">
        <v>713</v>
      </c>
    </row>
    <row r="47" spans="1:11" x14ac:dyDescent="0.35">
      <c r="A47" s="1" t="s">
        <v>935</v>
      </c>
      <c r="B47" s="47" t="s">
        <v>934</v>
      </c>
      <c r="C47" s="47" t="s">
        <v>925</v>
      </c>
      <c r="D47" s="47" t="s">
        <v>121</v>
      </c>
      <c r="E47" s="47" t="s">
        <v>44</v>
      </c>
      <c r="F47" s="48">
        <v>-12.69</v>
      </c>
      <c r="G47" s="48"/>
      <c r="H47" s="47" t="s">
        <v>50</v>
      </c>
      <c r="I47" s="47" t="s">
        <v>15</v>
      </c>
      <c r="J47" s="47" t="s">
        <v>47</v>
      </c>
      <c r="K47" s="42" t="s">
        <v>713</v>
      </c>
    </row>
    <row r="48" spans="1:11" x14ac:dyDescent="0.35">
      <c r="A48" s="1" t="s">
        <v>930</v>
      </c>
      <c r="B48" s="47" t="s">
        <v>931</v>
      </c>
      <c r="C48" s="47" t="s">
        <v>916</v>
      </c>
      <c r="D48" s="47" t="s">
        <v>86</v>
      </c>
      <c r="E48" s="47" t="s">
        <v>44</v>
      </c>
      <c r="F48" s="48">
        <v>-134.1</v>
      </c>
      <c r="G48" s="48"/>
      <c r="H48" s="47" t="s">
        <v>50</v>
      </c>
      <c r="I48" s="47" t="s">
        <v>19</v>
      </c>
      <c r="J48" s="47" t="s">
        <v>47</v>
      </c>
      <c r="K48" s="42" t="s">
        <v>713</v>
      </c>
    </row>
    <row r="49" spans="1:11" x14ac:dyDescent="0.35">
      <c r="A49" s="1" t="s">
        <v>932</v>
      </c>
      <c r="B49" s="47" t="s">
        <v>931</v>
      </c>
      <c r="C49" s="47" t="s">
        <v>925</v>
      </c>
      <c r="D49" s="47" t="s">
        <v>151</v>
      </c>
      <c r="E49" s="47" t="s">
        <v>44</v>
      </c>
      <c r="F49" s="48">
        <v>-13.07</v>
      </c>
      <c r="G49" s="48"/>
      <c r="H49" s="47" t="s">
        <v>50</v>
      </c>
      <c r="I49" s="47" t="s">
        <v>15</v>
      </c>
      <c r="J49" s="47" t="s">
        <v>47</v>
      </c>
      <c r="K49" s="42" t="s">
        <v>713</v>
      </c>
    </row>
    <row r="50" spans="1:11" x14ac:dyDescent="0.35">
      <c r="A50" s="1" t="s">
        <v>928</v>
      </c>
      <c r="B50" s="47" t="s">
        <v>925</v>
      </c>
      <c r="C50" s="47" t="s">
        <v>926</v>
      </c>
      <c r="D50" s="47" t="s">
        <v>929</v>
      </c>
      <c r="E50" s="47" t="s">
        <v>44</v>
      </c>
      <c r="F50" s="48">
        <v>-22.5</v>
      </c>
      <c r="G50" s="48"/>
      <c r="H50" s="47" t="s">
        <v>45</v>
      </c>
      <c r="I50" s="47" t="s">
        <v>46</v>
      </c>
      <c r="J50" s="47" t="s">
        <v>47</v>
      </c>
      <c r="K50" s="42" t="s">
        <v>713</v>
      </c>
    </row>
    <row r="51" spans="1:11" x14ac:dyDescent="0.35">
      <c r="A51" s="1" t="s">
        <v>924</v>
      </c>
      <c r="B51" s="47" t="s">
        <v>925</v>
      </c>
      <c r="C51" s="47" t="s">
        <v>926</v>
      </c>
      <c r="D51" s="47" t="s">
        <v>927</v>
      </c>
      <c r="E51" s="47" t="s">
        <v>44</v>
      </c>
      <c r="F51" s="48">
        <v>-6</v>
      </c>
      <c r="G51" s="48"/>
      <c r="H51" s="47" t="s">
        <v>45</v>
      </c>
      <c r="I51" s="47" t="s">
        <v>361</v>
      </c>
      <c r="J51" s="47" t="s">
        <v>47</v>
      </c>
      <c r="K51" s="42" t="s">
        <v>713</v>
      </c>
    </row>
    <row r="52" spans="1:11" x14ac:dyDescent="0.35">
      <c r="A52" s="1" t="s">
        <v>922</v>
      </c>
      <c r="B52" s="47" t="s">
        <v>916</v>
      </c>
      <c r="C52" s="47" t="s">
        <v>916</v>
      </c>
      <c r="D52" s="47" t="s">
        <v>923</v>
      </c>
      <c r="E52" s="47" t="s">
        <v>44</v>
      </c>
      <c r="F52" s="48">
        <v>-881.2</v>
      </c>
      <c r="G52" s="48"/>
      <c r="H52" s="17" t="s">
        <v>1698</v>
      </c>
      <c r="I52" s="17" t="s">
        <v>205</v>
      </c>
      <c r="J52" s="47" t="s">
        <v>79</v>
      </c>
      <c r="K52" s="42" t="s">
        <v>713</v>
      </c>
    </row>
    <row r="53" spans="1:11" x14ac:dyDescent="0.35">
      <c r="A53" s="1" t="s">
        <v>918</v>
      </c>
      <c r="B53" s="47" t="s">
        <v>916</v>
      </c>
      <c r="C53" s="47" t="s">
        <v>916</v>
      </c>
      <c r="D53" s="47" t="s">
        <v>919</v>
      </c>
      <c r="E53" s="47" t="s">
        <v>44</v>
      </c>
      <c r="F53" s="48">
        <v>-20</v>
      </c>
      <c r="G53" s="48"/>
      <c r="H53" s="47" t="s">
        <v>50</v>
      </c>
      <c r="I53" s="47" t="s">
        <v>920</v>
      </c>
      <c r="J53" s="47" t="s">
        <v>921</v>
      </c>
      <c r="K53" s="42" t="s">
        <v>713</v>
      </c>
    </row>
    <row r="54" spans="1:11" x14ac:dyDescent="0.35">
      <c r="A54" s="6" t="s">
        <v>915</v>
      </c>
      <c r="B54" s="7" t="s">
        <v>916</v>
      </c>
      <c r="C54" s="7" t="s">
        <v>916</v>
      </c>
      <c r="D54" s="7" t="s">
        <v>917</v>
      </c>
      <c r="E54" s="7" t="s">
        <v>44</v>
      </c>
      <c r="F54" s="10">
        <v>-15</v>
      </c>
      <c r="G54" s="10"/>
      <c r="H54" s="7" t="s">
        <v>464</v>
      </c>
      <c r="I54" s="7" t="s">
        <v>465</v>
      </c>
      <c r="J54" s="7" t="s">
        <v>47</v>
      </c>
      <c r="K54" s="43" t="s">
        <v>713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0E47-4AAE-4221-A2CA-33FC23BD7543}">
  <dimension ref="A1:B33"/>
  <sheetViews>
    <sheetView workbookViewId="0">
      <selection activeCell="B15" sqref="B15"/>
    </sheetView>
  </sheetViews>
  <sheetFormatPr defaultRowHeight="12.75" x14ac:dyDescent="0.35"/>
  <cols>
    <col min="1" max="1" width="31.33203125" bestFit="1" customWidth="1"/>
    <col min="2" max="2" width="14.6640625" bestFit="1" customWidth="1"/>
  </cols>
  <sheetData>
    <row r="1" spans="1:2" x14ac:dyDescent="0.35">
      <c r="A1" s="13" t="s">
        <v>37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45</v>
      </c>
      <c r="B6" s="12">
        <v>-216.03</v>
      </c>
    </row>
    <row r="7" spans="1:2" x14ac:dyDescent="0.35">
      <c r="A7" s="28" t="s">
        <v>361</v>
      </c>
      <c r="B7" s="12">
        <v>-18</v>
      </c>
    </row>
    <row r="8" spans="1:2" x14ac:dyDescent="0.35">
      <c r="A8" s="28" t="s">
        <v>46</v>
      </c>
      <c r="B8" s="12">
        <v>-198.03</v>
      </c>
    </row>
    <row r="9" spans="1:2" x14ac:dyDescent="0.35">
      <c r="A9" s="14" t="s">
        <v>50</v>
      </c>
      <c r="B9" s="12">
        <v>-585.69999999999993</v>
      </c>
    </row>
    <row r="10" spans="1:2" x14ac:dyDescent="0.35">
      <c r="A10" s="28" t="s">
        <v>165</v>
      </c>
      <c r="B10" s="12">
        <v>-18.98</v>
      </c>
    </row>
    <row r="11" spans="1:2" x14ac:dyDescent="0.35">
      <c r="A11" s="28" t="s">
        <v>15</v>
      </c>
      <c r="B11" s="12">
        <v>-156.96999999999997</v>
      </c>
    </row>
    <row r="12" spans="1:2" x14ac:dyDescent="0.35">
      <c r="A12" s="28" t="s">
        <v>920</v>
      </c>
      <c r="B12" s="12">
        <v>-20</v>
      </c>
    </row>
    <row r="13" spans="1:2" x14ac:dyDescent="0.35">
      <c r="A13" s="28" t="s">
        <v>19</v>
      </c>
      <c r="B13" s="12">
        <v>-389.75</v>
      </c>
    </row>
    <row r="14" spans="1:2" x14ac:dyDescent="0.35">
      <c r="A14" s="14" t="s">
        <v>58</v>
      </c>
      <c r="B14" s="12">
        <v>9986.11</v>
      </c>
    </row>
    <row r="15" spans="1:2" x14ac:dyDescent="0.35">
      <c r="A15" s="28" t="s">
        <v>59</v>
      </c>
      <c r="B15" s="12">
        <v>9986.11</v>
      </c>
    </row>
    <row r="16" spans="1:2" x14ac:dyDescent="0.35">
      <c r="A16" s="14" t="s">
        <v>90</v>
      </c>
      <c r="B16" s="12">
        <v>-436.31</v>
      </c>
    </row>
    <row r="17" spans="1:2" x14ac:dyDescent="0.35">
      <c r="A17" s="28" t="s">
        <v>106</v>
      </c>
      <c r="B17" s="12">
        <v>-96.14</v>
      </c>
    </row>
    <row r="18" spans="1:2" x14ac:dyDescent="0.35">
      <c r="A18" s="28" t="s">
        <v>539</v>
      </c>
      <c r="B18" s="12">
        <v>-13.98</v>
      </c>
    </row>
    <row r="19" spans="1:2" x14ac:dyDescent="0.35">
      <c r="A19" s="28" t="s">
        <v>570</v>
      </c>
      <c r="B19" s="12">
        <v>-236.87</v>
      </c>
    </row>
    <row r="20" spans="1:2" x14ac:dyDescent="0.35">
      <c r="A20" s="28" t="s">
        <v>78</v>
      </c>
      <c r="B20" s="12">
        <v>-89.32</v>
      </c>
    </row>
    <row r="21" spans="1:2" x14ac:dyDescent="0.35">
      <c r="A21" s="14" t="s">
        <v>136</v>
      </c>
      <c r="B21" s="12">
        <v>-13.03</v>
      </c>
    </row>
    <row r="22" spans="1:2" x14ac:dyDescent="0.35">
      <c r="A22" s="28" t="s">
        <v>394</v>
      </c>
      <c r="B22" s="12">
        <v>-8.5299999999999994</v>
      </c>
    </row>
    <row r="23" spans="1:2" x14ac:dyDescent="0.35">
      <c r="A23" s="28" t="s">
        <v>402</v>
      </c>
      <c r="B23" s="12">
        <v>-4.5</v>
      </c>
    </row>
    <row r="24" spans="1:2" x14ac:dyDescent="0.35">
      <c r="A24" s="14" t="s">
        <v>464</v>
      </c>
      <c r="B24" s="12">
        <v>-15</v>
      </c>
    </row>
    <row r="25" spans="1:2" x14ac:dyDescent="0.35">
      <c r="A25" s="28" t="s">
        <v>465</v>
      </c>
      <c r="B25" s="12">
        <v>-15</v>
      </c>
    </row>
    <row r="26" spans="1:2" x14ac:dyDescent="0.35">
      <c r="A26" s="14" t="s">
        <v>77</v>
      </c>
      <c r="B26" s="12">
        <v>-126.5</v>
      </c>
    </row>
    <row r="27" spans="1:2" x14ac:dyDescent="0.35">
      <c r="A27" s="28" t="s">
        <v>78</v>
      </c>
      <c r="B27" s="12">
        <v>-126.5</v>
      </c>
    </row>
    <row r="28" spans="1:2" x14ac:dyDescent="0.35">
      <c r="A28" s="14" t="s">
        <v>73</v>
      </c>
      <c r="B28" s="12">
        <v>-27.310000000000002</v>
      </c>
    </row>
    <row r="29" spans="1:2" x14ac:dyDescent="0.35">
      <c r="A29" s="28" t="s">
        <v>309</v>
      </c>
      <c r="B29" s="12">
        <v>-26.01</v>
      </c>
    </row>
    <row r="30" spans="1:2" x14ac:dyDescent="0.35">
      <c r="A30" s="28" t="s">
        <v>112</v>
      </c>
      <c r="B30" s="12">
        <v>-1.3</v>
      </c>
    </row>
    <row r="31" spans="1:2" x14ac:dyDescent="0.35">
      <c r="A31" s="14" t="s">
        <v>1698</v>
      </c>
      <c r="B31" s="12">
        <v>-881.2</v>
      </c>
    </row>
    <row r="32" spans="1:2" x14ac:dyDescent="0.35">
      <c r="A32" s="28" t="s">
        <v>205</v>
      </c>
      <c r="B32" s="12">
        <v>-881.2</v>
      </c>
    </row>
    <row r="33" spans="1:2" x14ac:dyDescent="0.35">
      <c r="A33" s="14" t="s">
        <v>208</v>
      </c>
      <c r="B33" s="12">
        <v>8235.0300000000007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32EB-3CD8-49A5-8E15-F645A03810BA}">
  <dimension ref="A1:L90"/>
  <sheetViews>
    <sheetView zoomScaleNormal="100" workbookViewId="0">
      <selection activeCell="J72" sqref="J72:J76"/>
    </sheetView>
  </sheetViews>
  <sheetFormatPr defaultRowHeight="12.75" x14ac:dyDescent="0.35"/>
  <cols>
    <col min="1" max="1" width="20.59765625" customWidth="1"/>
    <col min="2" max="2" width="16.86328125" customWidth="1"/>
    <col min="3" max="3" width="12.265625" customWidth="1"/>
    <col min="4" max="4" width="61.3984375" bestFit="1" customWidth="1"/>
    <col min="6" max="6" width="9.59765625" customWidth="1"/>
    <col min="7" max="8" width="9.1328125" customWidth="1"/>
    <col min="9" max="9" width="24" bestFit="1" customWidth="1"/>
    <col min="10" max="10" width="15.3984375" customWidth="1"/>
    <col min="11" max="11" width="10.265625" customWidth="1"/>
  </cols>
  <sheetData>
    <row r="1" spans="1:12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36" t="s">
        <v>410</v>
      </c>
      <c r="H1" s="36" t="s">
        <v>1020</v>
      </c>
      <c r="I1" s="4" t="s">
        <v>38</v>
      </c>
      <c r="J1" s="4" t="s">
        <v>39</v>
      </c>
      <c r="K1" s="4" t="s">
        <v>40</v>
      </c>
      <c r="L1" s="5" t="s">
        <v>708</v>
      </c>
    </row>
    <row r="2" spans="1:12" x14ac:dyDescent="0.35">
      <c r="A2" s="1" t="s">
        <v>1154</v>
      </c>
      <c r="B2" s="47" t="s">
        <v>926</v>
      </c>
      <c r="C2" s="47" t="s">
        <v>1148</v>
      </c>
      <c r="D2" s="47" t="s">
        <v>669</v>
      </c>
      <c r="E2" s="47" t="s">
        <v>44</v>
      </c>
      <c r="F2" s="48">
        <v>-40</v>
      </c>
      <c r="G2" s="48"/>
      <c r="H2" s="48"/>
      <c r="I2" s="47" t="s">
        <v>251</v>
      </c>
      <c r="J2" s="47" t="s">
        <v>670</v>
      </c>
      <c r="K2" s="47" t="s">
        <v>47</v>
      </c>
      <c r="L2" s="42" t="s">
        <v>713</v>
      </c>
    </row>
    <row r="3" spans="1:12" x14ac:dyDescent="0.35">
      <c r="A3" s="1" t="s">
        <v>1177</v>
      </c>
      <c r="B3" s="47" t="s">
        <v>1031</v>
      </c>
      <c r="C3" s="47" t="s">
        <v>1031</v>
      </c>
      <c r="D3" s="47" t="s">
        <v>1178</v>
      </c>
      <c r="E3" s="47" t="s">
        <v>44</v>
      </c>
      <c r="F3" s="48">
        <v>-881.2</v>
      </c>
      <c r="G3" s="48"/>
      <c r="H3" s="48"/>
      <c r="I3" s="17" t="s">
        <v>1698</v>
      </c>
      <c r="J3" s="17" t="s">
        <v>205</v>
      </c>
      <c r="K3" s="29" t="s">
        <v>713</v>
      </c>
      <c r="L3" s="42"/>
    </row>
    <row r="4" spans="1:12" x14ac:dyDescent="0.35">
      <c r="A4" s="1" t="s">
        <v>1153</v>
      </c>
      <c r="B4" s="47" t="s">
        <v>1151</v>
      </c>
      <c r="C4" s="47" t="s">
        <v>1142</v>
      </c>
      <c r="D4" s="47" t="s">
        <v>63</v>
      </c>
      <c r="E4" s="47" t="s">
        <v>44</v>
      </c>
      <c r="F4" s="48">
        <v>-14.77</v>
      </c>
      <c r="G4" s="48"/>
      <c r="H4" s="48"/>
      <c r="I4" s="47" t="s">
        <v>50</v>
      </c>
      <c r="J4" s="47" t="s">
        <v>15</v>
      </c>
      <c r="K4" s="47" t="s">
        <v>47</v>
      </c>
      <c r="L4" s="42" t="s">
        <v>713</v>
      </c>
    </row>
    <row r="5" spans="1:12" x14ac:dyDescent="0.35">
      <c r="A5" s="1" t="s">
        <v>1150</v>
      </c>
      <c r="B5" s="47" t="s">
        <v>1151</v>
      </c>
      <c r="C5" s="47" t="s">
        <v>1148</v>
      </c>
      <c r="D5" s="47" t="s">
        <v>1152</v>
      </c>
      <c r="E5" s="47" t="s">
        <v>44</v>
      </c>
      <c r="F5" s="48">
        <v>-5.99</v>
      </c>
      <c r="G5" s="48"/>
      <c r="H5" s="48"/>
      <c r="I5" s="47" t="s">
        <v>90</v>
      </c>
      <c r="J5" s="47" t="s">
        <v>106</v>
      </c>
      <c r="K5" s="47" t="s">
        <v>47</v>
      </c>
      <c r="L5" s="42" t="s">
        <v>713</v>
      </c>
    </row>
    <row r="6" spans="1:12" x14ac:dyDescent="0.35">
      <c r="A6" s="1" t="s">
        <v>1147</v>
      </c>
      <c r="B6" s="47" t="s">
        <v>1148</v>
      </c>
      <c r="C6" s="47" t="s">
        <v>1149</v>
      </c>
      <c r="D6" s="47" t="s">
        <v>290</v>
      </c>
      <c r="E6" s="47" t="s">
        <v>44</v>
      </c>
      <c r="F6" s="48">
        <v>-53.69</v>
      </c>
      <c r="G6" s="48"/>
      <c r="H6" s="48"/>
      <c r="I6" s="57" t="s">
        <v>50</v>
      </c>
      <c r="J6" s="57" t="s">
        <v>15</v>
      </c>
      <c r="K6" s="47" t="s">
        <v>47</v>
      </c>
      <c r="L6" s="42" t="s">
        <v>713</v>
      </c>
    </row>
    <row r="7" spans="1:12" x14ac:dyDescent="0.35">
      <c r="A7" s="1" t="s">
        <v>1146</v>
      </c>
      <c r="B7" s="47" t="s">
        <v>1142</v>
      </c>
      <c r="C7" s="47" t="s">
        <v>1142</v>
      </c>
      <c r="D7" s="47" t="s">
        <v>731</v>
      </c>
      <c r="E7" s="47" t="s">
        <v>44</v>
      </c>
      <c r="F7" s="48">
        <v>-98.3</v>
      </c>
      <c r="G7" s="48"/>
      <c r="H7" s="48"/>
      <c r="I7" s="47" t="s">
        <v>77</v>
      </c>
      <c r="J7" s="47" t="s">
        <v>78</v>
      </c>
      <c r="K7" s="47" t="s">
        <v>79</v>
      </c>
      <c r="L7" s="42" t="s">
        <v>713</v>
      </c>
    </row>
    <row r="8" spans="1:12" x14ac:dyDescent="0.35">
      <c r="A8" s="1" t="s">
        <v>1143</v>
      </c>
      <c r="B8" s="47" t="s">
        <v>1142</v>
      </c>
      <c r="C8" s="47" t="s">
        <v>1137</v>
      </c>
      <c r="D8" s="47" t="s">
        <v>197</v>
      </c>
      <c r="E8" s="47" t="s">
        <v>44</v>
      </c>
      <c r="F8" s="48">
        <v>-27.4</v>
      </c>
      <c r="G8" s="48"/>
      <c r="H8" s="48"/>
      <c r="I8" s="47" t="s">
        <v>50</v>
      </c>
      <c r="J8" s="47" t="s">
        <v>19</v>
      </c>
      <c r="K8" s="47" t="s">
        <v>47</v>
      </c>
      <c r="L8" s="42" t="s">
        <v>713</v>
      </c>
    </row>
    <row r="9" spans="1:12" x14ac:dyDescent="0.35">
      <c r="A9" s="1" t="s">
        <v>1141</v>
      </c>
      <c r="B9" s="47" t="s">
        <v>1142</v>
      </c>
      <c r="C9" s="47" t="s">
        <v>1137</v>
      </c>
      <c r="D9" s="47" t="s">
        <v>194</v>
      </c>
      <c r="E9" s="47" t="s">
        <v>44</v>
      </c>
      <c r="F9" s="48">
        <v>-8.9700000000000006</v>
      </c>
      <c r="G9" s="48"/>
      <c r="H9" s="48"/>
      <c r="I9" s="47" t="s">
        <v>50</v>
      </c>
      <c r="J9" s="47" t="s">
        <v>195</v>
      </c>
      <c r="K9" s="47" t="s">
        <v>47</v>
      </c>
      <c r="L9" s="42" t="s">
        <v>713</v>
      </c>
    </row>
    <row r="10" spans="1:12" x14ac:dyDescent="0.35">
      <c r="A10" s="1" t="s">
        <v>1144</v>
      </c>
      <c r="B10" s="47" t="s">
        <v>1142</v>
      </c>
      <c r="C10" s="47" t="s">
        <v>1142</v>
      </c>
      <c r="D10" s="47" t="s">
        <v>1145</v>
      </c>
      <c r="E10" s="47" t="s">
        <v>44</v>
      </c>
      <c r="F10" s="48">
        <v>550</v>
      </c>
      <c r="G10" s="48"/>
      <c r="H10" s="48"/>
      <c r="I10" s="47" t="s">
        <v>176</v>
      </c>
      <c r="J10" s="47" t="s">
        <v>59</v>
      </c>
      <c r="K10" s="47" t="s">
        <v>60</v>
      </c>
      <c r="L10" s="42" t="s">
        <v>713</v>
      </c>
    </row>
    <row r="11" spans="1:12" x14ac:dyDescent="0.35">
      <c r="A11" s="1" t="s">
        <v>1138</v>
      </c>
      <c r="B11" s="47" t="s">
        <v>1137</v>
      </c>
      <c r="C11" s="47" t="s">
        <v>1137</v>
      </c>
      <c r="D11" s="47" t="s">
        <v>96</v>
      </c>
      <c r="E11" s="47" t="s">
        <v>44</v>
      </c>
      <c r="F11" s="48">
        <v>-4000</v>
      </c>
      <c r="G11" s="48" t="s">
        <v>97</v>
      </c>
      <c r="H11" s="48"/>
      <c r="I11" s="47" t="s">
        <v>77</v>
      </c>
      <c r="J11" s="47" t="s">
        <v>765</v>
      </c>
      <c r="K11" s="47" t="s">
        <v>60</v>
      </c>
      <c r="L11" s="42" t="s">
        <v>713</v>
      </c>
    </row>
    <row r="12" spans="1:12" x14ac:dyDescent="0.35">
      <c r="A12" s="1" t="s">
        <v>1136</v>
      </c>
      <c r="B12" s="47" t="s">
        <v>1137</v>
      </c>
      <c r="C12" s="47" t="s">
        <v>1119</v>
      </c>
      <c r="D12" s="47" t="s">
        <v>63</v>
      </c>
      <c r="E12" s="47" t="s">
        <v>44</v>
      </c>
      <c r="F12" s="48">
        <v>-10.89</v>
      </c>
      <c r="G12" s="48"/>
      <c r="H12" s="48"/>
      <c r="I12" s="47" t="s">
        <v>50</v>
      </c>
      <c r="J12" s="47" t="s">
        <v>15</v>
      </c>
      <c r="K12" s="47" t="s">
        <v>47</v>
      </c>
      <c r="L12" s="42" t="s">
        <v>713</v>
      </c>
    </row>
    <row r="13" spans="1:12" x14ac:dyDescent="0.35">
      <c r="A13" s="1" t="s">
        <v>1139</v>
      </c>
      <c r="B13" s="47" t="s">
        <v>1137</v>
      </c>
      <c r="C13" s="47" t="s">
        <v>1137</v>
      </c>
      <c r="D13" s="47" t="s">
        <v>1140</v>
      </c>
      <c r="E13" s="47" t="s">
        <v>44</v>
      </c>
      <c r="F13" s="48">
        <v>1396.9</v>
      </c>
      <c r="G13" s="48"/>
      <c r="H13" s="48"/>
      <c r="I13" s="47" t="s">
        <v>648</v>
      </c>
      <c r="J13" s="47" t="s">
        <v>59</v>
      </c>
      <c r="K13" s="47" t="s">
        <v>60</v>
      </c>
      <c r="L13" s="42" t="s">
        <v>713</v>
      </c>
    </row>
    <row r="14" spans="1:12" x14ac:dyDescent="0.35">
      <c r="A14" s="1" t="s">
        <v>1135</v>
      </c>
      <c r="B14" s="47" t="s">
        <v>1134</v>
      </c>
      <c r="C14" s="47" t="s">
        <v>1119</v>
      </c>
      <c r="D14" s="47" t="s">
        <v>63</v>
      </c>
      <c r="E14" s="47" t="s">
        <v>44</v>
      </c>
      <c r="F14" s="48">
        <v>-12.4</v>
      </c>
      <c r="G14" s="48"/>
      <c r="H14" s="48"/>
      <c r="I14" s="47" t="s">
        <v>50</v>
      </c>
      <c r="J14" s="47" t="s">
        <v>15</v>
      </c>
      <c r="K14" s="47" t="s">
        <v>47</v>
      </c>
      <c r="L14" s="42" t="s">
        <v>713</v>
      </c>
    </row>
    <row r="15" spans="1:12" x14ac:dyDescent="0.35">
      <c r="A15" s="1" t="s">
        <v>1133</v>
      </c>
      <c r="B15" s="47" t="s">
        <v>1134</v>
      </c>
      <c r="C15" s="47" t="s">
        <v>1119</v>
      </c>
      <c r="D15" s="47" t="s">
        <v>973</v>
      </c>
      <c r="E15" s="47" t="s">
        <v>44</v>
      </c>
      <c r="F15" s="48">
        <v>-7.03</v>
      </c>
      <c r="G15" s="48"/>
      <c r="H15" s="48"/>
      <c r="I15" s="47" t="s">
        <v>73</v>
      </c>
      <c r="J15" s="47" t="s">
        <v>309</v>
      </c>
      <c r="K15" s="47" t="s">
        <v>47</v>
      </c>
      <c r="L15" s="42" t="s">
        <v>713</v>
      </c>
    </row>
    <row r="16" spans="1:12" x14ac:dyDescent="0.35">
      <c r="A16" s="1" t="s">
        <v>1131</v>
      </c>
      <c r="B16" s="47" t="s">
        <v>1124</v>
      </c>
      <c r="C16" s="47" t="s">
        <v>1124</v>
      </c>
      <c r="D16" s="47" t="s">
        <v>1132</v>
      </c>
      <c r="E16" s="47" t="s">
        <v>44</v>
      </c>
      <c r="F16" s="48">
        <v>-1190</v>
      </c>
      <c r="G16" s="48"/>
      <c r="H16" s="48"/>
      <c r="I16" s="47" t="s">
        <v>136</v>
      </c>
      <c r="J16" s="47" t="s">
        <v>137</v>
      </c>
      <c r="K16" s="47" t="s">
        <v>138</v>
      </c>
      <c r="L16" s="42" t="s">
        <v>713</v>
      </c>
    </row>
    <row r="17" spans="1:12" x14ac:dyDescent="0.35">
      <c r="A17" s="1" t="s">
        <v>1128</v>
      </c>
      <c r="B17" s="47" t="s">
        <v>1124</v>
      </c>
      <c r="C17" s="47" t="s">
        <v>1105</v>
      </c>
      <c r="D17" s="47" t="s">
        <v>89</v>
      </c>
      <c r="E17" s="47" t="s">
        <v>44</v>
      </c>
      <c r="F17" s="48">
        <v>-43.34</v>
      </c>
      <c r="G17" s="48"/>
      <c r="H17" s="48"/>
      <c r="I17" s="47" t="s">
        <v>90</v>
      </c>
      <c r="J17" s="47" t="s">
        <v>78</v>
      </c>
      <c r="K17" s="47" t="s">
        <v>91</v>
      </c>
      <c r="L17" s="42" t="s">
        <v>713</v>
      </c>
    </row>
    <row r="18" spans="1:12" x14ac:dyDescent="0.35">
      <c r="A18" s="1" t="s">
        <v>1126</v>
      </c>
      <c r="B18" s="47" t="s">
        <v>1124</v>
      </c>
      <c r="C18" s="47" t="s">
        <v>1114</v>
      </c>
      <c r="D18" s="47" t="s">
        <v>1127</v>
      </c>
      <c r="E18" s="47" t="s">
        <v>44</v>
      </c>
      <c r="F18" s="48">
        <v>-24</v>
      </c>
      <c r="G18" s="48"/>
      <c r="H18" s="48"/>
      <c r="I18" s="47" t="s">
        <v>50</v>
      </c>
      <c r="J18" s="47" t="s">
        <v>19</v>
      </c>
      <c r="K18" s="47" t="s">
        <v>47</v>
      </c>
      <c r="L18" s="42" t="s">
        <v>713</v>
      </c>
    </row>
    <row r="19" spans="1:12" x14ac:dyDescent="0.35">
      <c r="A19" s="1" t="s">
        <v>1129</v>
      </c>
      <c r="B19" s="47" t="s">
        <v>1124</v>
      </c>
      <c r="C19" s="47" t="s">
        <v>1114</v>
      </c>
      <c r="D19" s="47" t="s">
        <v>1130</v>
      </c>
      <c r="E19" s="47" t="s">
        <v>44</v>
      </c>
      <c r="F19" s="48">
        <v>-12.2</v>
      </c>
      <c r="G19" s="48"/>
      <c r="H19" s="48"/>
      <c r="I19" s="47" t="s">
        <v>90</v>
      </c>
      <c r="J19" s="47" t="s">
        <v>106</v>
      </c>
      <c r="K19" s="47" t="s">
        <v>47</v>
      </c>
      <c r="L19" s="42" t="s">
        <v>713</v>
      </c>
    </row>
    <row r="20" spans="1:12" x14ac:dyDescent="0.35">
      <c r="A20" s="1" t="s">
        <v>1123</v>
      </c>
      <c r="B20" s="47" t="s">
        <v>1124</v>
      </c>
      <c r="C20" s="47" t="s">
        <v>1119</v>
      </c>
      <c r="D20" s="47" t="s">
        <v>1125</v>
      </c>
      <c r="E20" s="47" t="s">
        <v>44</v>
      </c>
      <c r="F20" s="48">
        <v>-6.6</v>
      </c>
      <c r="G20" s="48"/>
      <c r="H20" s="48"/>
      <c r="I20" s="47" t="s">
        <v>464</v>
      </c>
      <c r="J20" s="47" t="s">
        <v>465</v>
      </c>
      <c r="K20" s="47" t="s">
        <v>47</v>
      </c>
      <c r="L20" s="42" t="s">
        <v>713</v>
      </c>
    </row>
    <row r="21" spans="1:12" x14ac:dyDescent="0.35">
      <c r="A21" s="1" t="s">
        <v>1121</v>
      </c>
      <c r="B21" s="47" t="s">
        <v>1122</v>
      </c>
      <c r="C21" s="47" t="s">
        <v>1119</v>
      </c>
      <c r="D21" s="47" t="s">
        <v>476</v>
      </c>
      <c r="E21" s="47" t="s">
        <v>44</v>
      </c>
      <c r="F21" s="48">
        <v>-18.98</v>
      </c>
      <c r="G21" s="48"/>
      <c r="H21" s="48"/>
      <c r="I21" s="47" t="s">
        <v>50</v>
      </c>
      <c r="J21" s="47" t="s">
        <v>165</v>
      </c>
      <c r="K21" s="47" t="s">
        <v>91</v>
      </c>
      <c r="L21" s="42" t="s">
        <v>713</v>
      </c>
    </row>
    <row r="22" spans="1:12" x14ac:dyDescent="0.35">
      <c r="A22" s="1" t="s">
        <v>1120</v>
      </c>
      <c r="B22" s="47" t="s">
        <v>1119</v>
      </c>
      <c r="C22" s="47" t="s">
        <v>1112</v>
      </c>
      <c r="D22" s="47" t="s">
        <v>287</v>
      </c>
      <c r="E22" s="47" t="s">
        <v>44</v>
      </c>
      <c r="F22" s="48">
        <v>-35.44</v>
      </c>
      <c r="G22" s="48"/>
      <c r="H22" s="48"/>
      <c r="I22" s="47" t="s">
        <v>251</v>
      </c>
      <c r="J22" s="47" t="s">
        <v>288</v>
      </c>
      <c r="K22" s="47" t="s">
        <v>47</v>
      </c>
      <c r="L22" s="42" t="s">
        <v>713</v>
      </c>
    </row>
    <row r="23" spans="1:12" x14ac:dyDescent="0.35">
      <c r="A23" s="1" t="s">
        <v>1118</v>
      </c>
      <c r="B23" s="47" t="s">
        <v>1119</v>
      </c>
      <c r="C23" s="47" t="s">
        <v>1112</v>
      </c>
      <c r="D23" s="47" t="s">
        <v>121</v>
      </c>
      <c r="E23" s="47" t="s">
        <v>44</v>
      </c>
      <c r="F23" s="48">
        <v>-7.21</v>
      </c>
      <c r="G23" s="48"/>
      <c r="H23" s="48"/>
      <c r="I23" s="47" t="s">
        <v>50</v>
      </c>
      <c r="J23" s="47" t="s">
        <v>15</v>
      </c>
      <c r="K23" s="47" t="s">
        <v>47</v>
      </c>
      <c r="L23" s="42" t="s">
        <v>713</v>
      </c>
    </row>
    <row r="24" spans="1:12" x14ac:dyDescent="0.35">
      <c r="A24" s="1" t="s">
        <v>1117</v>
      </c>
      <c r="B24" s="47" t="s">
        <v>1114</v>
      </c>
      <c r="C24" s="47" t="s">
        <v>1114</v>
      </c>
      <c r="D24" s="47" t="s">
        <v>731</v>
      </c>
      <c r="E24" s="47" t="s">
        <v>44</v>
      </c>
      <c r="F24" s="48">
        <v>-57</v>
      </c>
      <c r="G24" s="48"/>
      <c r="H24" s="48"/>
      <c r="I24" s="47" t="s">
        <v>77</v>
      </c>
      <c r="J24" s="47" t="s">
        <v>78</v>
      </c>
      <c r="K24" s="47" t="s">
        <v>79</v>
      </c>
      <c r="L24" s="42" t="s">
        <v>713</v>
      </c>
    </row>
    <row r="25" spans="1:12" x14ac:dyDescent="0.35">
      <c r="A25" s="1" t="s">
        <v>1113</v>
      </c>
      <c r="B25" s="47" t="s">
        <v>1114</v>
      </c>
      <c r="C25" s="47" t="s">
        <v>1105</v>
      </c>
      <c r="D25" s="47" t="s">
        <v>290</v>
      </c>
      <c r="E25" s="47" t="s">
        <v>44</v>
      </c>
      <c r="F25" s="48">
        <v>-17.23</v>
      </c>
      <c r="G25" s="48"/>
      <c r="H25" s="48"/>
      <c r="I25" s="47" t="s">
        <v>50</v>
      </c>
      <c r="J25" s="47" t="s">
        <v>15</v>
      </c>
      <c r="K25" s="47" t="s">
        <v>47</v>
      </c>
      <c r="L25" s="42" t="s">
        <v>713</v>
      </c>
    </row>
    <row r="26" spans="1:12" x14ac:dyDescent="0.35">
      <c r="A26" s="1" t="s">
        <v>1115</v>
      </c>
      <c r="B26" s="47" t="s">
        <v>1114</v>
      </c>
      <c r="C26" s="47" t="s">
        <v>1105</v>
      </c>
      <c r="D26" s="47" t="s">
        <v>1116</v>
      </c>
      <c r="E26" s="47" t="s">
        <v>44</v>
      </c>
      <c r="F26" s="48">
        <v>-13</v>
      </c>
      <c r="G26" s="48"/>
      <c r="H26" s="48"/>
      <c r="I26" s="47" t="s">
        <v>50</v>
      </c>
      <c r="J26" s="47" t="s">
        <v>15</v>
      </c>
      <c r="K26" s="47" t="s">
        <v>47</v>
      </c>
      <c r="L26" s="42" t="s">
        <v>713</v>
      </c>
    </row>
    <row r="27" spans="1:12" x14ac:dyDescent="0.35">
      <c r="A27" s="1" t="s">
        <v>1111</v>
      </c>
      <c r="B27" s="47" t="s">
        <v>1112</v>
      </c>
      <c r="C27" s="47" t="s">
        <v>1112</v>
      </c>
      <c r="D27" s="47" t="s">
        <v>96</v>
      </c>
      <c r="E27" s="47" t="s">
        <v>44</v>
      </c>
      <c r="F27" s="48">
        <v>-3000</v>
      </c>
      <c r="G27" s="48" t="s">
        <v>97</v>
      </c>
      <c r="H27" s="48"/>
      <c r="I27" s="47" t="s">
        <v>77</v>
      </c>
      <c r="J27" s="47" t="s">
        <v>765</v>
      </c>
      <c r="K27" s="47" t="s">
        <v>60</v>
      </c>
      <c r="L27" s="42" t="s">
        <v>713</v>
      </c>
    </row>
    <row r="28" spans="1:12" x14ac:dyDescent="0.35">
      <c r="A28" s="1" t="s">
        <v>1110</v>
      </c>
      <c r="B28" s="47" t="s">
        <v>1105</v>
      </c>
      <c r="C28" s="47" t="s">
        <v>1106</v>
      </c>
      <c r="D28" s="47" t="s">
        <v>197</v>
      </c>
      <c r="E28" s="47" t="s">
        <v>44</v>
      </c>
      <c r="F28" s="48">
        <v>-116.1</v>
      </c>
      <c r="G28" s="48"/>
      <c r="H28" s="48"/>
      <c r="I28" s="47" t="s">
        <v>50</v>
      </c>
      <c r="J28" s="47" t="s">
        <v>19</v>
      </c>
      <c r="K28" s="47" t="s">
        <v>47</v>
      </c>
      <c r="L28" s="42" t="s">
        <v>713</v>
      </c>
    </row>
    <row r="29" spans="1:12" x14ac:dyDescent="0.35">
      <c r="A29" s="1" t="s">
        <v>1108</v>
      </c>
      <c r="B29" s="47" t="s">
        <v>1105</v>
      </c>
      <c r="C29" s="47" t="s">
        <v>1106</v>
      </c>
      <c r="D29" s="47" t="s">
        <v>1109</v>
      </c>
      <c r="E29" s="47" t="s">
        <v>44</v>
      </c>
      <c r="F29" s="48">
        <v>-37.25</v>
      </c>
      <c r="G29" s="48"/>
      <c r="H29" s="48"/>
      <c r="I29" s="47" t="s">
        <v>90</v>
      </c>
      <c r="J29" s="47" t="s">
        <v>78</v>
      </c>
      <c r="K29" s="47" t="s">
        <v>47</v>
      </c>
      <c r="L29" s="42" t="s">
        <v>713</v>
      </c>
    </row>
    <row r="30" spans="1:12" x14ac:dyDescent="0.35">
      <c r="A30" s="1" t="s">
        <v>1104</v>
      </c>
      <c r="B30" s="47" t="s">
        <v>1105</v>
      </c>
      <c r="C30" s="47" t="s">
        <v>1106</v>
      </c>
      <c r="D30" s="47" t="s">
        <v>1107</v>
      </c>
      <c r="E30" s="47" t="s">
        <v>44</v>
      </c>
      <c r="F30" s="48">
        <v>-11.4</v>
      </c>
      <c r="G30" s="48"/>
      <c r="H30" s="48"/>
      <c r="I30" s="47" t="s">
        <v>50</v>
      </c>
      <c r="J30" s="47" t="s">
        <v>15</v>
      </c>
      <c r="K30" s="47" t="s">
        <v>47</v>
      </c>
      <c r="L30" s="42" t="s">
        <v>713</v>
      </c>
    </row>
    <row r="31" spans="1:12" x14ac:dyDescent="0.35">
      <c r="A31" s="1" t="s">
        <v>1102</v>
      </c>
      <c r="B31" s="47" t="s">
        <v>1103</v>
      </c>
      <c r="C31" s="47" t="s">
        <v>1099</v>
      </c>
      <c r="D31" s="47" t="s">
        <v>973</v>
      </c>
      <c r="E31" s="47" t="s">
        <v>44</v>
      </c>
      <c r="F31" s="48">
        <v>-22.03</v>
      </c>
      <c r="G31" s="48"/>
      <c r="H31" s="48"/>
      <c r="I31" s="47" t="s">
        <v>73</v>
      </c>
      <c r="J31" s="47" t="s">
        <v>309</v>
      </c>
      <c r="K31" s="47" t="s">
        <v>47</v>
      </c>
      <c r="L31" s="42" t="s">
        <v>713</v>
      </c>
    </row>
    <row r="32" spans="1:12" x14ac:dyDescent="0.35">
      <c r="A32" s="1" t="s">
        <v>1101</v>
      </c>
      <c r="B32" s="47" t="s">
        <v>1099</v>
      </c>
      <c r="C32" s="47" t="s">
        <v>1099</v>
      </c>
      <c r="D32" s="47" t="s">
        <v>731</v>
      </c>
      <c r="E32" s="47" t="s">
        <v>44</v>
      </c>
      <c r="F32" s="48">
        <v>-75.53</v>
      </c>
      <c r="G32" s="48"/>
      <c r="H32" s="48"/>
      <c r="I32" s="47" t="s">
        <v>77</v>
      </c>
      <c r="J32" s="47" t="s">
        <v>78</v>
      </c>
      <c r="K32" s="47" t="s">
        <v>79</v>
      </c>
      <c r="L32" s="42" t="s">
        <v>713</v>
      </c>
    </row>
    <row r="33" spans="1:12" x14ac:dyDescent="0.35">
      <c r="A33" s="1" t="s">
        <v>1098</v>
      </c>
      <c r="B33" s="47" t="s">
        <v>1099</v>
      </c>
      <c r="C33" s="47" t="s">
        <v>1093</v>
      </c>
      <c r="D33" s="47" t="s">
        <v>197</v>
      </c>
      <c r="E33" s="47" t="s">
        <v>44</v>
      </c>
      <c r="F33" s="48">
        <v>-58.35</v>
      </c>
      <c r="G33" s="48"/>
      <c r="H33" s="48"/>
      <c r="I33" s="47" t="s">
        <v>50</v>
      </c>
      <c r="J33" s="47" t="s">
        <v>19</v>
      </c>
      <c r="K33" s="47" t="s">
        <v>47</v>
      </c>
      <c r="L33" s="42" t="s">
        <v>713</v>
      </c>
    </row>
    <row r="34" spans="1:12" x14ac:dyDescent="0.35">
      <c r="A34" s="1" t="s">
        <v>1100</v>
      </c>
      <c r="B34" s="47" t="s">
        <v>1099</v>
      </c>
      <c r="C34" s="47" t="s">
        <v>1093</v>
      </c>
      <c r="D34" s="47" t="s">
        <v>194</v>
      </c>
      <c r="E34" s="47" t="s">
        <v>44</v>
      </c>
      <c r="F34" s="48">
        <v>-25.98</v>
      </c>
      <c r="G34" s="48"/>
      <c r="H34" s="48"/>
      <c r="I34" s="47" t="s">
        <v>50</v>
      </c>
      <c r="J34" s="47" t="s">
        <v>195</v>
      </c>
      <c r="K34" s="47" t="s">
        <v>47</v>
      </c>
      <c r="L34" s="42" t="s">
        <v>713</v>
      </c>
    </row>
    <row r="35" spans="1:12" x14ac:dyDescent="0.35">
      <c r="A35" s="1" t="s">
        <v>1092</v>
      </c>
      <c r="B35" s="47" t="s">
        <v>1093</v>
      </c>
      <c r="C35" s="47" t="s">
        <v>1093</v>
      </c>
      <c r="D35" s="47" t="s">
        <v>1094</v>
      </c>
      <c r="E35" s="47" t="s">
        <v>44</v>
      </c>
      <c r="F35" s="48">
        <v>-180</v>
      </c>
      <c r="G35" s="48"/>
      <c r="H35" s="48"/>
      <c r="I35" s="47" t="s">
        <v>50</v>
      </c>
      <c r="J35" s="47" t="s">
        <v>1095</v>
      </c>
      <c r="K35" s="47" t="s">
        <v>483</v>
      </c>
      <c r="L35" s="42" t="s">
        <v>713</v>
      </c>
    </row>
    <row r="36" spans="1:12" x14ac:dyDescent="0.35">
      <c r="A36" s="1" t="s">
        <v>1096</v>
      </c>
      <c r="B36" s="47" t="s">
        <v>1093</v>
      </c>
      <c r="C36" s="47" t="s">
        <v>1086</v>
      </c>
      <c r="D36" s="47" t="s">
        <v>1097</v>
      </c>
      <c r="E36" s="47" t="s">
        <v>44</v>
      </c>
      <c r="F36" s="48">
        <v>-20</v>
      </c>
      <c r="G36" s="48"/>
      <c r="H36" s="48"/>
      <c r="I36" s="47" t="s">
        <v>45</v>
      </c>
      <c r="J36" s="47" t="s">
        <v>46</v>
      </c>
      <c r="K36" s="47" t="s">
        <v>47</v>
      </c>
      <c r="L36" s="42" t="s">
        <v>713</v>
      </c>
    </row>
    <row r="37" spans="1:12" x14ac:dyDescent="0.35">
      <c r="A37" s="1" t="s">
        <v>1090</v>
      </c>
      <c r="B37" s="47" t="s">
        <v>1091</v>
      </c>
      <c r="C37" s="47" t="s">
        <v>1072</v>
      </c>
      <c r="D37" s="47" t="s">
        <v>63</v>
      </c>
      <c r="E37" s="47" t="s">
        <v>44</v>
      </c>
      <c r="F37" s="48">
        <v>-3.04</v>
      </c>
      <c r="G37" s="48"/>
      <c r="H37" s="48"/>
      <c r="I37" s="47" t="s">
        <v>50</v>
      </c>
      <c r="J37" s="47" t="s">
        <v>15</v>
      </c>
      <c r="K37" s="47" t="s">
        <v>47</v>
      </c>
      <c r="L37" s="42" t="s">
        <v>713</v>
      </c>
    </row>
    <row r="38" spans="1:12" x14ac:dyDescent="0.35">
      <c r="A38" s="1" t="s">
        <v>1089</v>
      </c>
      <c r="B38" s="47" t="s">
        <v>1086</v>
      </c>
      <c r="C38" s="47" t="s">
        <v>1059</v>
      </c>
      <c r="D38" s="47" t="s">
        <v>287</v>
      </c>
      <c r="E38" s="47" t="s">
        <v>44</v>
      </c>
      <c r="F38" s="48">
        <v>-10.9</v>
      </c>
      <c r="G38" s="48"/>
      <c r="H38" s="48"/>
      <c r="I38" s="47" t="s">
        <v>251</v>
      </c>
      <c r="J38" s="47" t="s">
        <v>288</v>
      </c>
      <c r="K38" s="47" t="s">
        <v>47</v>
      </c>
      <c r="L38" s="42" t="s">
        <v>713</v>
      </c>
    </row>
    <row r="39" spans="1:12" x14ac:dyDescent="0.35">
      <c r="A39" s="1" t="s">
        <v>1085</v>
      </c>
      <c r="B39" s="47" t="s">
        <v>1086</v>
      </c>
      <c r="C39" s="47" t="s">
        <v>1050</v>
      </c>
      <c r="D39" s="47" t="s">
        <v>1087</v>
      </c>
      <c r="E39" s="47" t="s">
        <v>44</v>
      </c>
      <c r="F39" s="48">
        <v>-4.9000000000000004</v>
      </c>
      <c r="G39" s="48"/>
      <c r="H39" s="48" t="s">
        <v>97</v>
      </c>
      <c r="I39" s="47" t="s">
        <v>45</v>
      </c>
      <c r="J39" s="47" t="s">
        <v>1028</v>
      </c>
      <c r="K39" s="47" t="s">
        <v>47</v>
      </c>
      <c r="L39" s="42" t="s">
        <v>713</v>
      </c>
    </row>
    <row r="40" spans="1:12" x14ac:dyDescent="0.35">
      <c r="A40" s="1" t="s">
        <v>1088</v>
      </c>
      <c r="B40" s="47" t="s">
        <v>1086</v>
      </c>
      <c r="C40" s="47" t="s">
        <v>1059</v>
      </c>
      <c r="D40" s="47" t="s">
        <v>453</v>
      </c>
      <c r="E40" s="47" t="s">
        <v>44</v>
      </c>
      <c r="F40" s="48">
        <v>-3.9</v>
      </c>
      <c r="G40" s="48"/>
      <c r="H40" s="48" t="s">
        <v>97</v>
      </c>
      <c r="I40" s="47" t="s">
        <v>73</v>
      </c>
      <c r="J40" s="47" t="s">
        <v>74</v>
      </c>
      <c r="K40" s="47" t="s">
        <v>47</v>
      </c>
      <c r="L40" s="42" t="s">
        <v>713</v>
      </c>
    </row>
    <row r="41" spans="1:12" x14ac:dyDescent="0.35">
      <c r="A41" s="1" t="s">
        <v>1082</v>
      </c>
      <c r="B41" s="47" t="s">
        <v>1072</v>
      </c>
      <c r="C41" s="47" t="s">
        <v>1072</v>
      </c>
      <c r="D41" s="47" t="s">
        <v>731</v>
      </c>
      <c r="E41" s="47" t="s">
        <v>44</v>
      </c>
      <c r="F41" s="48">
        <v>-76.7</v>
      </c>
      <c r="G41" s="48"/>
      <c r="H41" s="48"/>
      <c r="I41" s="47" t="s">
        <v>77</v>
      </c>
      <c r="J41" s="47" t="s">
        <v>78</v>
      </c>
      <c r="K41" s="47" t="s">
        <v>79</v>
      </c>
      <c r="L41" s="42" t="s">
        <v>713</v>
      </c>
    </row>
    <row r="42" spans="1:12" x14ac:dyDescent="0.35">
      <c r="A42" s="1" t="s">
        <v>1083</v>
      </c>
      <c r="B42" s="47" t="s">
        <v>1072</v>
      </c>
      <c r="C42" s="47" t="s">
        <v>1072</v>
      </c>
      <c r="D42" s="47" t="s">
        <v>1084</v>
      </c>
      <c r="E42" s="47" t="s">
        <v>44</v>
      </c>
      <c r="F42" s="48">
        <v>-59.1</v>
      </c>
      <c r="G42" s="48"/>
      <c r="H42" s="48"/>
      <c r="I42" s="47" t="s">
        <v>50</v>
      </c>
      <c r="J42" s="47" t="s">
        <v>21</v>
      </c>
      <c r="K42" s="47" t="s">
        <v>79</v>
      </c>
      <c r="L42" s="42" t="s">
        <v>713</v>
      </c>
    </row>
    <row r="43" spans="1:12" x14ac:dyDescent="0.35">
      <c r="A43" s="1" t="s">
        <v>1071</v>
      </c>
      <c r="B43" s="47" t="s">
        <v>1072</v>
      </c>
      <c r="C43" s="47" t="s">
        <v>1050</v>
      </c>
      <c r="D43" s="47" t="s">
        <v>1073</v>
      </c>
      <c r="E43" s="47" t="s">
        <v>44</v>
      </c>
      <c r="F43" s="48">
        <v>-32.619999999999997</v>
      </c>
      <c r="G43" s="48"/>
      <c r="H43" s="48" t="s">
        <v>97</v>
      </c>
      <c r="I43" s="47" t="s">
        <v>1040</v>
      </c>
      <c r="J43" s="48" t="s">
        <v>464</v>
      </c>
      <c r="K43" s="47" t="s">
        <v>47</v>
      </c>
      <c r="L43" s="42" t="s">
        <v>713</v>
      </c>
    </row>
    <row r="44" spans="1:12" x14ac:dyDescent="0.35">
      <c r="A44" s="1" t="s">
        <v>1078</v>
      </c>
      <c r="B44" s="47" t="s">
        <v>1072</v>
      </c>
      <c r="C44" s="47" t="s">
        <v>1050</v>
      </c>
      <c r="D44" s="47" t="s">
        <v>1079</v>
      </c>
      <c r="E44" s="47" t="s">
        <v>44</v>
      </c>
      <c r="F44" s="48">
        <v>-12.81</v>
      </c>
      <c r="G44" s="48"/>
      <c r="H44" s="48" t="s">
        <v>97</v>
      </c>
      <c r="I44" s="47" t="s">
        <v>50</v>
      </c>
      <c r="J44" s="47" t="s">
        <v>15</v>
      </c>
      <c r="K44" s="47" t="s">
        <v>47</v>
      </c>
      <c r="L44" s="42" t="s">
        <v>713</v>
      </c>
    </row>
    <row r="45" spans="1:12" x14ac:dyDescent="0.35">
      <c r="A45" s="1" t="s">
        <v>1080</v>
      </c>
      <c r="B45" s="47" t="s">
        <v>1072</v>
      </c>
      <c r="C45" s="47" t="s">
        <v>1050</v>
      </c>
      <c r="D45" s="47" t="s">
        <v>1081</v>
      </c>
      <c r="E45" s="47" t="s">
        <v>44</v>
      </c>
      <c r="F45" s="48">
        <v>-7.85</v>
      </c>
      <c r="G45" s="48"/>
      <c r="H45" s="48" t="s">
        <v>97</v>
      </c>
      <c r="I45" s="47" t="s">
        <v>45</v>
      </c>
      <c r="J45" s="47" t="s">
        <v>1028</v>
      </c>
      <c r="K45" s="47" t="s">
        <v>47</v>
      </c>
      <c r="L45" s="42" t="s">
        <v>713</v>
      </c>
    </row>
    <row r="46" spans="1:12" x14ac:dyDescent="0.35">
      <c r="A46" s="1" t="s">
        <v>1074</v>
      </c>
      <c r="B46" s="47" t="s">
        <v>1072</v>
      </c>
      <c r="C46" s="47" t="s">
        <v>1050</v>
      </c>
      <c r="D46" s="47" t="s">
        <v>1056</v>
      </c>
      <c r="E46" s="47" t="s">
        <v>44</v>
      </c>
      <c r="F46" s="48">
        <v>-7.14</v>
      </c>
      <c r="G46" s="48"/>
      <c r="H46" s="48" t="s">
        <v>97</v>
      </c>
      <c r="I46" s="47" t="s">
        <v>73</v>
      </c>
      <c r="J46" s="47" t="s">
        <v>112</v>
      </c>
      <c r="K46" s="47" t="s">
        <v>47</v>
      </c>
      <c r="L46" s="42" t="s">
        <v>713</v>
      </c>
    </row>
    <row r="47" spans="1:12" x14ac:dyDescent="0.35">
      <c r="A47" s="1" t="s">
        <v>1076</v>
      </c>
      <c r="B47" s="47" t="s">
        <v>1072</v>
      </c>
      <c r="C47" s="47" t="s">
        <v>1050</v>
      </c>
      <c r="D47" s="47" t="s">
        <v>1077</v>
      </c>
      <c r="E47" s="47" t="s">
        <v>44</v>
      </c>
      <c r="F47" s="48">
        <v>-7.14</v>
      </c>
      <c r="G47" s="48"/>
      <c r="H47" s="48" t="s">
        <v>97</v>
      </c>
      <c r="I47" s="47" t="s">
        <v>73</v>
      </c>
      <c r="J47" s="47" t="s">
        <v>112</v>
      </c>
      <c r="K47" s="47" t="s">
        <v>47</v>
      </c>
      <c r="L47" s="42" t="s">
        <v>713</v>
      </c>
    </row>
    <row r="48" spans="1:12" x14ac:dyDescent="0.35">
      <c r="A48" s="1" t="s">
        <v>1075</v>
      </c>
      <c r="B48" s="47" t="s">
        <v>1072</v>
      </c>
      <c r="C48" s="47" t="s">
        <v>1050</v>
      </c>
      <c r="D48" s="47" t="s">
        <v>1056</v>
      </c>
      <c r="E48" s="47" t="s">
        <v>44</v>
      </c>
      <c r="F48" s="48">
        <v>-5.36</v>
      </c>
      <c r="G48" s="48"/>
      <c r="H48" s="48" t="s">
        <v>97</v>
      </c>
      <c r="I48" s="47" t="s">
        <v>73</v>
      </c>
      <c r="J48" s="47" t="s">
        <v>112</v>
      </c>
      <c r="K48" s="47" t="s">
        <v>47</v>
      </c>
      <c r="L48" s="42" t="s">
        <v>713</v>
      </c>
    </row>
    <row r="49" spans="1:12" x14ac:dyDescent="0.35">
      <c r="A49" s="1" t="s">
        <v>1061</v>
      </c>
      <c r="B49" s="47" t="s">
        <v>1059</v>
      </c>
      <c r="C49" s="47" t="s">
        <v>1044</v>
      </c>
      <c r="D49" s="47" t="s">
        <v>1060</v>
      </c>
      <c r="E49" s="47" t="s">
        <v>44</v>
      </c>
      <c r="F49" s="48">
        <v>-39.840000000000003</v>
      </c>
      <c r="G49" s="48"/>
      <c r="H49" s="48" t="s">
        <v>97</v>
      </c>
      <c r="I49" s="48" t="s">
        <v>464</v>
      </c>
      <c r="J49" s="47" t="s">
        <v>1025</v>
      </c>
      <c r="K49" s="47" t="s">
        <v>47</v>
      </c>
      <c r="L49" s="42" t="s">
        <v>713</v>
      </c>
    </row>
    <row r="50" spans="1:12" x14ac:dyDescent="0.35">
      <c r="A50" s="1" t="s">
        <v>1058</v>
      </c>
      <c r="B50" s="47" t="s">
        <v>1059</v>
      </c>
      <c r="C50" s="47" t="s">
        <v>1044</v>
      </c>
      <c r="D50" s="47" t="s">
        <v>1060</v>
      </c>
      <c r="E50" s="47" t="s">
        <v>44</v>
      </c>
      <c r="F50" s="48">
        <v>-31.65</v>
      </c>
      <c r="G50" s="48"/>
      <c r="H50" s="48" t="s">
        <v>97</v>
      </c>
      <c r="I50" s="47" t="s">
        <v>464</v>
      </c>
      <c r="J50" s="47" t="s">
        <v>1025</v>
      </c>
      <c r="K50" s="47" t="s">
        <v>47</v>
      </c>
      <c r="L50" s="42" t="s">
        <v>713</v>
      </c>
    </row>
    <row r="51" spans="1:12" x14ac:dyDescent="0.35">
      <c r="A51" s="1" t="s">
        <v>1064</v>
      </c>
      <c r="B51" s="47" t="s">
        <v>1059</v>
      </c>
      <c r="C51" s="47" t="s">
        <v>1044</v>
      </c>
      <c r="D51" s="47" t="s">
        <v>1065</v>
      </c>
      <c r="E51" s="47" t="s">
        <v>44</v>
      </c>
      <c r="F51" s="48">
        <v>-27</v>
      </c>
      <c r="G51" s="48"/>
      <c r="H51" s="48" t="s">
        <v>97</v>
      </c>
      <c r="I51" s="47" t="s">
        <v>50</v>
      </c>
      <c r="J51" s="47" t="s">
        <v>15</v>
      </c>
      <c r="K51" s="47" t="s">
        <v>47</v>
      </c>
      <c r="L51" s="42" t="s">
        <v>713</v>
      </c>
    </row>
    <row r="52" spans="1:12" x14ac:dyDescent="0.35">
      <c r="A52" s="1" t="s">
        <v>1066</v>
      </c>
      <c r="B52" s="47" t="s">
        <v>1059</v>
      </c>
      <c r="C52" s="47" t="s">
        <v>1044</v>
      </c>
      <c r="D52" s="47" t="s">
        <v>1067</v>
      </c>
      <c r="E52" s="47" t="s">
        <v>44</v>
      </c>
      <c r="F52" s="48">
        <v>-17.53</v>
      </c>
      <c r="G52" s="48"/>
      <c r="H52" s="48" t="s">
        <v>97</v>
      </c>
      <c r="I52" s="47" t="s">
        <v>45</v>
      </c>
      <c r="J52" s="47" t="s">
        <v>1028</v>
      </c>
      <c r="K52" s="47" t="s">
        <v>47</v>
      </c>
      <c r="L52" s="42" t="s">
        <v>713</v>
      </c>
    </row>
    <row r="53" spans="1:12" x14ac:dyDescent="0.35">
      <c r="A53" s="1" t="s">
        <v>1068</v>
      </c>
      <c r="B53" s="47" t="s">
        <v>1059</v>
      </c>
      <c r="C53" s="47" t="s">
        <v>1044</v>
      </c>
      <c r="D53" s="47" t="s">
        <v>1069</v>
      </c>
      <c r="E53" s="47" t="s">
        <v>44</v>
      </c>
      <c r="F53" s="48">
        <v>-8.69</v>
      </c>
      <c r="G53" s="48"/>
      <c r="H53" s="48" t="s">
        <v>97</v>
      </c>
      <c r="I53" s="47" t="s">
        <v>73</v>
      </c>
      <c r="J53" s="47" t="s">
        <v>112</v>
      </c>
      <c r="K53" s="47" t="s">
        <v>47</v>
      </c>
      <c r="L53" s="42" t="s">
        <v>713</v>
      </c>
    </row>
    <row r="54" spans="1:12" x14ac:dyDescent="0.35">
      <c r="A54" s="1" t="s">
        <v>1062</v>
      </c>
      <c r="B54" s="47" t="s">
        <v>1059</v>
      </c>
      <c r="C54" s="47" t="s">
        <v>1044</v>
      </c>
      <c r="D54" s="47" t="s">
        <v>1063</v>
      </c>
      <c r="E54" s="47" t="s">
        <v>44</v>
      </c>
      <c r="F54" s="48">
        <v>-7.24</v>
      </c>
      <c r="G54" s="48"/>
      <c r="H54" s="48" t="s">
        <v>97</v>
      </c>
      <c r="I54" s="47" t="s">
        <v>73</v>
      </c>
      <c r="J54" s="47" t="s">
        <v>112</v>
      </c>
      <c r="K54" s="47" t="s">
        <v>47</v>
      </c>
      <c r="L54" s="42" t="s">
        <v>713</v>
      </c>
    </row>
    <row r="55" spans="1:12" x14ac:dyDescent="0.35">
      <c r="A55" s="1" t="s">
        <v>1070</v>
      </c>
      <c r="B55" s="47" t="s">
        <v>1059</v>
      </c>
      <c r="C55" s="47" t="s">
        <v>1059</v>
      </c>
      <c r="D55" s="47" t="s">
        <v>211</v>
      </c>
      <c r="E55" s="47" t="s">
        <v>44</v>
      </c>
      <c r="F55" s="48">
        <v>5583.99</v>
      </c>
      <c r="G55" s="48"/>
      <c r="H55" s="48"/>
      <c r="I55" s="47" t="s">
        <v>58</v>
      </c>
      <c r="J55" s="47" t="s">
        <v>59</v>
      </c>
      <c r="K55" s="47" t="s">
        <v>60</v>
      </c>
      <c r="L55" s="42" t="s">
        <v>713</v>
      </c>
    </row>
    <row r="56" spans="1:12" x14ac:dyDescent="0.35">
      <c r="A56" s="1" t="s">
        <v>1049</v>
      </c>
      <c r="B56" s="47" t="s">
        <v>1050</v>
      </c>
      <c r="C56" s="47" t="s">
        <v>1031</v>
      </c>
      <c r="D56" s="47" t="s">
        <v>1051</v>
      </c>
      <c r="E56" s="47" t="s">
        <v>44</v>
      </c>
      <c r="F56" s="48">
        <v>-46.03</v>
      </c>
      <c r="G56" s="48"/>
      <c r="H56" s="48" t="s">
        <v>97</v>
      </c>
      <c r="I56" s="47" t="s">
        <v>45</v>
      </c>
      <c r="J56" s="47" t="s">
        <v>1052</v>
      </c>
      <c r="K56" s="47" t="s">
        <v>47</v>
      </c>
      <c r="L56" s="42" t="s">
        <v>713</v>
      </c>
    </row>
    <row r="57" spans="1:12" x14ac:dyDescent="0.35">
      <c r="A57" s="1" t="s">
        <v>1053</v>
      </c>
      <c r="B57" s="47" t="s">
        <v>1050</v>
      </c>
      <c r="C57" s="47" t="s">
        <v>1031</v>
      </c>
      <c r="D57" s="47" t="s">
        <v>1054</v>
      </c>
      <c r="E57" s="47" t="s">
        <v>44</v>
      </c>
      <c r="F57" s="48">
        <v>-7.53</v>
      </c>
      <c r="G57" s="48"/>
      <c r="H57" s="48" t="s">
        <v>97</v>
      </c>
      <c r="I57" s="47" t="s">
        <v>73</v>
      </c>
      <c r="J57" s="47" t="s">
        <v>112</v>
      </c>
      <c r="K57" s="47" t="s">
        <v>47</v>
      </c>
      <c r="L57" s="42" t="s">
        <v>713</v>
      </c>
    </row>
    <row r="58" spans="1:12" x14ac:dyDescent="0.35">
      <c r="A58" s="1" t="s">
        <v>1055</v>
      </c>
      <c r="B58" s="47" t="s">
        <v>1050</v>
      </c>
      <c r="C58" s="47" t="s">
        <v>1031</v>
      </c>
      <c r="D58" s="47" t="s">
        <v>1056</v>
      </c>
      <c r="E58" s="47" t="s">
        <v>44</v>
      </c>
      <c r="F58" s="48">
        <v>-7.24</v>
      </c>
      <c r="G58" s="48"/>
      <c r="H58" s="48" t="s">
        <v>97</v>
      </c>
      <c r="I58" s="47" t="s">
        <v>73</v>
      </c>
      <c r="J58" s="47" t="s">
        <v>112</v>
      </c>
      <c r="K58" s="47" t="s">
        <v>47</v>
      </c>
      <c r="L58" s="42" t="s">
        <v>713</v>
      </c>
    </row>
    <row r="59" spans="1:12" x14ac:dyDescent="0.35">
      <c r="A59" s="1" t="s">
        <v>1057</v>
      </c>
      <c r="B59" s="47" t="s">
        <v>1050</v>
      </c>
      <c r="C59" s="47" t="s">
        <v>1031</v>
      </c>
      <c r="D59" s="47" t="s">
        <v>1056</v>
      </c>
      <c r="E59" s="47" t="s">
        <v>44</v>
      </c>
      <c r="F59" s="48">
        <v>-7.24</v>
      </c>
      <c r="G59" s="48"/>
      <c r="H59" s="48" t="s">
        <v>97</v>
      </c>
      <c r="I59" s="47" t="s">
        <v>73</v>
      </c>
      <c r="J59" s="47" t="s">
        <v>112</v>
      </c>
      <c r="K59" s="47" t="s">
        <v>47</v>
      </c>
      <c r="L59" s="42" t="s">
        <v>713</v>
      </c>
    </row>
    <row r="60" spans="1:12" x14ac:dyDescent="0.35">
      <c r="A60" s="1" t="s">
        <v>1043</v>
      </c>
      <c r="B60" s="47" t="s">
        <v>1044</v>
      </c>
      <c r="C60" s="47" t="s">
        <v>1031</v>
      </c>
      <c r="D60" s="47" t="s">
        <v>1045</v>
      </c>
      <c r="E60" s="47" t="s">
        <v>44</v>
      </c>
      <c r="F60" s="48">
        <v>-18.510000000000002</v>
      </c>
      <c r="G60" s="48"/>
      <c r="H60" s="48" t="s">
        <v>97</v>
      </c>
      <c r="I60" s="47" t="s">
        <v>50</v>
      </c>
      <c r="J60" s="47" t="s">
        <v>15</v>
      </c>
      <c r="K60" s="47" t="s">
        <v>47</v>
      </c>
      <c r="L60" s="42" t="s">
        <v>713</v>
      </c>
    </row>
    <row r="61" spans="1:12" x14ac:dyDescent="0.35">
      <c r="A61" s="1" t="s">
        <v>1046</v>
      </c>
      <c r="B61" s="47" t="s">
        <v>1044</v>
      </c>
      <c r="C61" s="47" t="s">
        <v>1031</v>
      </c>
      <c r="D61" s="47" t="s">
        <v>1047</v>
      </c>
      <c r="E61" s="47" t="s">
        <v>44</v>
      </c>
      <c r="F61" s="48">
        <v>-7.48</v>
      </c>
      <c r="G61" s="48"/>
      <c r="H61" s="48" t="s">
        <v>97</v>
      </c>
      <c r="I61" s="47" t="s">
        <v>1040</v>
      </c>
      <c r="J61" s="47" t="s">
        <v>464</v>
      </c>
      <c r="K61" s="47" t="s">
        <v>47</v>
      </c>
      <c r="L61" s="42" t="s">
        <v>713</v>
      </c>
    </row>
    <row r="62" spans="1:12" x14ac:dyDescent="0.35">
      <c r="A62" s="1" t="s">
        <v>1048</v>
      </c>
      <c r="B62" s="47" t="s">
        <v>1044</v>
      </c>
      <c r="C62" s="47" t="s">
        <v>1044</v>
      </c>
      <c r="D62" s="47" t="s">
        <v>57</v>
      </c>
      <c r="E62" s="47" t="s">
        <v>44</v>
      </c>
      <c r="F62" s="48">
        <v>507.45</v>
      </c>
      <c r="G62" s="48"/>
      <c r="H62" s="48"/>
      <c r="I62" s="47" t="s">
        <v>58</v>
      </c>
      <c r="J62" s="47" t="s">
        <v>59</v>
      </c>
      <c r="K62" s="47" t="s">
        <v>60</v>
      </c>
      <c r="L62" s="42" t="s">
        <v>713</v>
      </c>
    </row>
    <row r="63" spans="1:12" x14ac:dyDescent="0.35">
      <c r="A63" s="1" t="s">
        <v>1033</v>
      </c>
      <c r="B63" s="47" t="s">
        <v>1030</v>
      </c>
      <c r="C63" s="47" t="s">
        <v>1031</v>
      </c>
      <c r="D63" s="47" t="s">
        <v>1034</v>
      </c>
      <c r="E63" s="47" t="s">
        <v>44</v>
      </c>
      <c r="F63" s="48">
        <v>-37.54</v>
      </c>
      <c r="G63" s="48"/>
      <c r="H63" s="48" t="s">
        <v>97</v>
      </c>
      <c r="I63" s="47" t="s">
        <v>464</v>
      </c>
      <c r="J63" s="47" t="s">
        <v>1025</v>
      </c>
      <c r="K63" s="47" t="s">
        <v>47</v>
      </c>
      <c r="L63" s="42" t="s">
        <v>713</v>
      </c>
    </row>
    <row r="64" spans="1:12" x14ac:dyDescent="0.35">
      <c r="A64" s="1" t="s">
        <v>1038</v>
      </c>
      <c r="B64" s="47" t="s">
        <v>1030</v>
      </c>
      <c r="C64" s="47" t="s">
        <v>1031</v>
      </c>
      <c r="D64" s="47" t="s">
        <v>1039</v>
      </c>
      <c r="E64" s="47" t="s">
        <v>44</v>
      </c>
      <c r="F64" s="48">
        <v>-17.11</v>
      </c>
      <c r="G64" s="48"/>
      <c r="H64" s="48" t="s">
        <v>97</v>
      </c>
      <c r="I64" s="47" t="s">
        <v>1040</v>
      </c>
      <c r="J64" s="47" t="s">
        <v>464</v>
      </c>
      <c r="K64" s="47" t="s">
        <v>47</v>
      </c>
      <c r="L64" s="42" t="s">
        <v>713</v>
      </c>
    </row>
    <row r="65" spans="1:12" x14ac:dyDescent="0.35">
      <c r="A65" s="1" t="s">
        <v>1029</v>
      </c>
      <c r="B65" s="47" t="s">
        <v>1030</v>
      </c>
      <c r="C65" s="47" t="s">
        <v>1031</v>
      </c>
      <c r="D65" s="47" t="s">
        <v>1032</v>
      </c>
      <c r="E65" s="47" t="s">
        <v>44</v>
      </c>
      <c r="F65" s="48">
        <v>-16.61</v>
      </c>
      <c r="G65" s="48"/>
      <c r="H65" s="48" t="s">
        <v>97</v>
      </c>
      <c r="I65" s="47" t="s">
        <v>50</v>
      </c>
      <c r="J65" s="47" t="s">
        <v>15</v>
      </c>
      <c r="K65" s="47" t="s">
        <v>47</v>
      </c>
      <c r="L65" s="42" t="s">
        <v>713</v>
      </c>
    </row>
    <row r="66" spans="1:12" x14ac:dyDescent="0.35">
      <c r="A66" s="1" t="s">
        <v>1041</v>
      </c>
      <c r="B66" s="47" t="s">
        <v>1030</v>
      </c>
      <c r="C66" s="47" t="s">
        <v>1031</v>
      </c>
      <c r="D66" s="47" t="s">
        <v>1042</v>
      </c>
      <c r="E66" s="47" t="s">
        <v>44</v>
      </c>
      <c r="F66" s="48">
        <v>-10.1</v>
      </c>
      <c r="G66" s="48"/>
      <c r="H66" s="48" t="s">
        <v>97</v>
      </c>
      <c r="I66" s="48" t="s">
        <v>1040</v>
      </c>
      <c r="J66" s="48" t="s">
        <v>464</v>
      </c>
      <c r="K66" s="47" t="s">
        <v>47</v>
      </c>
      <c r="L66" s="42" t="s">
        <v>713</v>
      </c>
    </row>
    <row r="67" spans="1:12" x14ac:dyDescent="0.35">
      <c r="A67" s="1" t="s">
        <v>1035</v>
      </c>
      <c r="B67" s="47" t="s">
        <v>1030</v>
      </c>
      <c r="C67" s="47" t="s">
        <v>1031</v>
      </c>
      <c r="D67" s="47" t="s">
        <v>1036</v>
      </c>
      <c r="E67" s="47" t="s">
        <v>44</v>
      </c>
      <c r="F67" s="48">
        <v>-1.44</v>
      </c>
      <c r="G67" s="48"/>
      <c r="H67" s="48" t="s">
        <v>97</v>
      </c>
      <c r="I67" s="56" t="s">
        <v>73</v>
      </c>
      <c r="J67" s="58" t="s">
        <v>1037</v>
      </c>
      <c r="K67" s="47" t="s">
        <v>47</v>
      </c>
      <c r="L67" s="42" t="s">
        <v>713</v>
      </c>
    </row>
    <row r="68" spans="1:12" x14ac:dyDescent="0.35">
      <c r="A68" s="6" t="s">
        <v>1021</v>
      </c>
      <c r="B68" s="7" t="s">
        <v>1022</v>
      </c>
      <c r="C68" s="7" t="s">
        <v>1023</v>
      </c>
      <c r="D68" s="7" t="s">
        <v>1024</v>
      </c>
      <c r="E68" s="7" t="s">
        <v>44</v>
      </c>
      <c r="F68" s="10">
        <v>-23.1</v>
      </c>
      <c r="G68" s="10"/>
      <c r="H68" s="10" t="s">
        <v>97</v>
      </c>
      <c r="I68" s="7" t="s">
        <v>464</v>
      </c>
      <c r="J68" s="7" t="s">
        <v>1025</v>
      </c>
      <c r="K68" s="7" t="s">
        <v>47</v>
      </c>
      <c r="L68" s="43" t="s">
        <v>713</v>
      </c>
    </row>
    <row r="69" spans="1:12" x14ac:dyDescent="0.35">
      <c r="A69" s="1" t="s">
        <v>1026</v>
      </c>
      <c r="B69" s="47" t="s">
        <v>1022</v>
      </c>
      <c r="C69" s="47" t="s">
        <v>1023</v>
      </c>
      <c r="D69" s="47" t="s">
        <v>1027</v>
      </c>
      <c r="E69" s="47" t="s">
        <v>44</v>
      </c>
      <c r="F69" s="48">
        <v>-14.58</v>
      </c>
      <c r="G69" s="48"/>
      <c r="H69" s="48" t="s">
        <v>97</v>
      </c>
      <c r="I69" s="47" t="s">
        <v>45</v>
      </c>
      <c r="J69" s="47" t="s">
        <v>1028</v>
      </c>
      <c r="K69" s="47" t="s">
        <v>47</v>
      </c>
      <c r="L69" s="42" t="s">
        <v>713</v>
      </c>
    </row>
    <row r="70" spans="1:12" x14ac:dyDescent="0.35">
      <c r="A70" s="1"/>
      <c r="B70" s="47"/>
      <c r="C70" s="47"/>
      <c r="D70" s="47" t="s">
        <v>1170</v>
      </c>
      <c r="E70" s="47" t="s">
        <v>1162</v>
      </c>
      <c r="F70" s="48">
        <v>-90.08</v>
      </c>
      <c r="G70" s="48"/>
      <c r="H70" s="48" t="s">
        <v>97</v>
      </c>
      <c r="I70" s="47" t="s">
        <v>45</v>
      </c>
      <c r="J70" s="47" t="s">
        <v>1052</v>
      </c>
      <c r="K70" s="47"/>
      <c r="L70" s="42"/>
    </row>
    <row r="71" spans="1:12" x14ac:dyDescent="0.35">
      <c r="A71" s="1"/>
      <c r="B71" s="47"/>
      <c r="C71" s="47"/>
      <c r="D71" s="47" t="s">
        <v>1169</v>
      </c>
      <c r="E71" s="47" t="s">
        <v>1162</v>
      </c>
      <c r="F71" s="48">
        <v>-45.85</v>
      </c>
      <c r="G71" s="48"/>
      <c r="H71" s="48" t="s">
        <v>97</v>
      </c>
      <c r="I71" s="47" t="s">
        <v>73</v>
      </c>
      <c r="J71" s="47" t="s">
        <v>309</v>
      </c>
      <c r="K71" s="47"/>
      <c r="L71" s="42"/>
    </row>
    <row r="72" spans="1:12" x14ac:dyDescent="0.35">
      <c r="A72" s="1"/>
      <c r="B72" s="47"/>
      <c r="C72" s="47"/>
      <c r="D72" s="47" t="s">
        <v>1161</v>
      </c>
      <c r="E72" s="47" t="s">
        <v>1162</v>
      </c>
      <c r="F72" s="48">
        <v>-43.47</v>
      </c>
      <c r="G72" s="48"/>
      <c r="H72" s="48" t="s">
        <v>97</v>
      </c>
      <c r="I72" s="47" t="s">
        <v>73</v>
      </c>
      <c r="J72" s="47" t="s">
        <v>309</v>
      </c>
      <c r="K72" s="47"/>
      <c r="L72" s="42"/>
    </row>
    <row r="73" spans="1:12" x14ac:dyDescent="0.35">
      <c r="A73" s="1"/>
      <c r="B73" s="47"/>
      <c r="C73" s="47"/>
      <c r="D73" s="47" t="s">
        <v>1176</v>
      </c>
      <c r="E73" s="47" t="s">
        <v>1162</v>
      </c>
      <c r="F73" s="48">
        <v>-41.64</v>
      </c>
      <c r="G73" s="48"/>
      <c r="H73" s="48" t="s">
        <v>97</v>
      </c>
      <c r="I73" s="47" t="s">
        <v>73</v>
      </c>
      <c r="J73" s="47" t="s">
        <v>309</v>
      </c>
      <c r="K73" s="47"/>
      <c r="L73" s="42"/>
    </row>
    <row r="74" spans="1:12" x14ac:dyDescent="0.35">
      <c r="A74" s="1"/>
      <c r="B74" s="47"/>
      <c r="C74" s="47"/>
      <c r="D74" s="47" t="s">
        <v>1174</v>
      </c>
      <c r="E74" s="47" t="s">
        <v>1162</v>
      </c>
      <c r="F74" s="48">
        <v>-40.880000000000003</v>
      </c>
      <c r="G74" s="48"/>
      <c r="H74" s="48" t="s">
        <v>97</v>
      </c>
      <c r="I74" s="47" t="s">
        <v>73</v>
      </c>
      <c r="J74" s="47" t="s">
        <v>309</v>
      </c>
      <c r="K74" s="47"/>
      <c r="L74" s="42"/>
    </row>
    <row r="75" spans="1:12" x14ac:dyDescent="0.35">
      <c r="A75" s="1"/>
      <c r="B75" s="47"/>
      <c r="C75" s="47"/>
      <c r="D75" s="47" t="s">
        <v>1164</v>
      </c>
      <c r="E75" s="47" t="s">
        <v>1162</v>
      </c>
      <c r="F75" s="48">
        <v>-36.18</v>
      </c>
      <c r="G75" s="48"/>
      <c r="H75" s="48" t="s">
        <v>97</v>
      </c>
      <c r="I75" s="47" t="s">
        <v>73</v>
      </c>
      <c r="J75" s="47" t="s">
        <v>309</v>
      </c>
      <c r="K75" s="47"/>
      <c r="L75" s="42"/>
    </row>
    <row r="76" spans="1:12" x14ac:dyDescent="0.35">
      <c r="A76" s="1"/>
      <c r="B76" s="47"/>
      <c r="C76" s="47"/>
      <c r="D76" s="47" t="s">
        <v>1175</v>
      </c>
      <c r="E76" s="47" t="s">
        <v>1162</v>
      </c>
      <c r="F76" s="48">
        <v>-33.340000000000003</v>
      </c>
      <c r="G76" s="48"/>
      <c r="H76" s="48" t="s">
        <v>97</v>
      </c>
      <c r="I76" s="47" t="s">
        <v>73</v>
      </c>
      <c r="J76" s="47" t="s">
        <v>309</v>
      </c>
      <c r="K76" s="47"/>
      <c r="L76" s="42"/>
    </row>
    <row r="77" spans="1:12" x14ac:dyDescent="0.35">
      <c r="A77" s="1"/>
      <c r="B77" s="47"/>
      <c r="C77" s="47"/>
      <c r="D77" s="47" t="s">
        <v>1158</v>
      </c>
      <c r="E77" s="47" t="s">
        <v>44</v>
      </c>
      <c r="F77" s="48">
        <v>-28.81</v>
      </c>
      <c r="G77" s="48"/>
      <c r="H77" s="48" t="s">
        <v>97</v>
      </c>
      <c r="I77" s="47" t="s">
        <v>45</v>
      </c>
      <c r="J77" s="48" t="s">
        <v>1159</v>
      </c>
      <c r="K77" s="47"/>
      <c r="L77" s="42"/>
    </row>
    <row r="78" spans="1:12" x14ac:dyDescent="0.35">
      <c r="A78" s="1"/>
      <c r="B78" s="47"/>
      <c r="C78" s="47"/>
      <c r="D78" s="47" t="s">
        <v>1165</v>
      </c>
      <c r="E78" s="47" t="s">
        <v>1166</v>
      </c>
      <c r="F78" s="48">
        <v>-27.6</v>
      </c>
      <c r="G78" s="48"/>
      <c r="H78" s="48" t="s">
        <v>97</v>
      </c>
      <c r="I78" s="47" t="s">
        <v>45</v>
      </c>
      <c r="J78" s="47" t="s">
        <v>1159</v>
      </c>
      <c r="K78" s="47"/>
      <c r="L78" s="42"/>
    </row>
    <row r="79" spans="1:12" x14ac:dyDescent="0.35">
      <c r="A79" s="1"/>
      <c r="B79" s="47"/>
      <c r="C79" s="47"/>
      <c r="D79" s="47" t="s">
        <v>1167</v>
      </c>
      <c r="E79" s="47" t="s">
        <v>1166</v>
      </c>
      <c r="F79" s="48">
        <v>-21.39</v>
      </c>
      <c r="G79" s="48"/>
      <c r="H79" s="48" t="s">
        <v>97</v>
      </c>
      <c r="I79" s="47" t="s">
        <v>45</v>
      </c>
      <c r="J79" s="47" t="s">
        <v>1159</v>
      </c>
      <c r="K79" s="47"/>
      <c r="L79" s="42"/>
    </row>
    <row r="80" spans="1:12" x14ac:dyDescent="0.35">
      <c r="A80" s="1"/>
      <c r="B80" s="47"/>
      <c r="C80" s="47"/>
      <c r="D80" s="47" t="s">
        <v>1172</v>
      </c>
      <c r="E80" s="47" t="s">
        <v>1162</v>
      </c>
      <c r="F80" s="48">
        <v>-18.54</v>
      </c>
      <c r="G80" s="48"/>
      <c r="H80" s="48" t="s">
        <v>97</v>
      </c>
      <c r="I80" s="47" t="s">
        <v>73</v>
      </c>
      <c r="J80" s="48" t="s">
        <v>1040</v>
      </c>
      <c r="K80" s="47"/>
      <c r="L80" s="42"/>
    </row>
    <row r="81" spans="1:12" x14ac:dyDescent="0.35">
      <c r="A81" s="1"/>
      <c r="B81" s="47"/>
      <c r="C81" s="47"/>
      <c r="D81" s="47" t="s">
        <v>1171</v>
      </c>
      <c r="E81" s="47" t="s">
        <v>1162</v>
      </c>
      <c r="F81" s="48">
        <v>-15.1</v>
      </c>
      <c r="G81" s="48"/>
      <c r="H81" s="48" t="s">
        <v>97</v>
      </c>
      <c r="I81" s="47" t="s">
        <v>50</v>
      </c>
      <c r="J81" s="47" t="s">
        <v>15</v>
      </c>
      <c r="K81" s="47"/>
      <c r="L81" s="42"/>
    </row>
    <row r="82" spans="1:12" x14ac:dyDescent="0.35">
      <c r="A82" s="1"/>
      <c r="B82" s="47"/>
      <c r="C82" s="47"/>
      <c r="D82" s="47" t="s">
        <v>1168</v>
      </c>
      <c r="E82" s="47" t="s">
        <v>1162</v>
      </c>
      <c r="F82" s="48">
        <v>-11.99</v>
      </c>
      <c r="G82" s="48"/>
      <c r="H82" s="48" t="s">
        <v>97</v>
      </c>
      <c r="I82" s="47" t="s">
        <v>50</v>
      </c>
      <c r="J82" s="47" t="s">
        <v>15</v>
      </c>
      <c r="K82" s="47"/>
      <c r="L82" s="42"/>
    </row>
    <row r="83" spans="1:12" x14ac:dyDescent="0.35">
      <c r="A83" s="1"/>
      <c r="B83" s="47"/>
      <c r="C83" s="47"/>
      <c r="D83" s="47" t="s">
        <v>1056</v>
      </c>
      <c r="E83" s="47" t="s">
        <v>1162</v>
      </c>
      <c r="F83" s="48">
        <v>-7.86</v>
      </c>
      <c r="G83" s="48"/>
      <c r="H83" s="48" t="s">
        <v>97</v>
      </c>
      <c r="I83" s="47" t="s">
        <v>73</v>
      </c>
      <c r="J83" s="47" t="s">
        <v>112</v>
      </c>
      <c r="K83" s="47"/>
      <c r="L83" s="42"/>
    </row>
    <row r="84" spans="1:12" x14ac:dyDescent="0.35">
      <c r="A84" s="1"/>
      <c r="B84" s="47"/>
      <c r="C84" s="47"/>
      <c r="D84" s="47" t="s">
        <v>1155</v>
      </c>
      <c r="E84" s="47" t="s">
        <v>44</v>
      </c>
      <c r="F84" s="48">
        <v>-6.96</v>
      </c>
      <c r="G84" s="48"/>
      <c r="H84" s="48" t="s">
        <v>97</v>
      </c>
      <c r="I84" s="47" t="s">
        <v>73</v>
      </c>
      <c r="J84" s="48" t="s">
        <v>1040</v>
      </c>
      <c r="K84" s="47"/>
      <c r="L84" s="42"/>
    </row>
    <row r="85" spans="1:12" x14ac:dyDescent="0.35">
      <c r="A85" s="1"/>
      <c r="B85" s="47"/>
      <c r="C85" s="47"/>
      <c r="D85" s="47" t="s">
        <v>1157</v>
      </c>
      <c r="E85" s="47" t="s">
        <v>44</v>
      </c>
      <c r="F85" s="48">
        <v>-6.5</v>
      </c>
      <c r="G85" s="48"/>
      <c r="H85" s="48" t="s">
        <v>97</v>
      </c>
      <c r="I85" s="47" t="s">
        <v>73</v>
      </c>
      <c r="J85" s="48" t="s">
        <v>1040</v>
      </c>
      <c r="K85" s="47"/>
      <c r="L85" s="42"/>
    </row>
    <row r="86" spans="1:12" x14ac:dyDescent="0.35">
      <c r="A86" s="1"/>
      <c r="B86" s="47"/>
      <c r="C86" s="47"/>
      <c r="D86" s="47" t="s">
        <v>1056</v>
      </c>
      <c r="E86" s="47" t="s">
        <v>1162</v>
      </c>
      <c r="F86" s="48">
        <v>-5.43</v>
      </c>
      <c r="G86" s="48"/>
      <c r="H86" s="48" t="s">
        <v>97</v>
      </c>
      <c r="I86" s="47" t="s">
        <v>73</v>
      </c>
      <c r="J86" s="47" t="s">
        <v>112</v>
      </c>
      <c r="K86" s="47"/>
      <c r="L86" s="42"/>
    </row>
    <row r="87" spans="1:12" x14ac:dyDescent="0.35">
      <c r="A87" s="1"/>
      <c r="B87" s="47"/>
      <c r="C87" s="47"/>
      <c r="D87" s="47" t="s">
        <v>1160</v>
      </c>
      <c r="E87" s="47" t="s">
        <v>44</v>
      </c>
      <c r="F87" s="48">
        <v>-2.16</v>
      </c>
      <c r="G87" s="48"/>
      <c r="H87" s="48" t="s">
        <v>97</v>
      </c>
      <c r="I87" s="47" t="s">
        <v>73</v>
      </c>
      <c r="J87" s="48" t="s">
        <v>1037</v>
      </c>
      <c r="K87" s="47"/>
      <c r="L87" s="42"/>
    </row>
    <row r="88" spans="1:12" x14ac:dyDescent="0.35">
      <c r="A88" s="1"/>
      <c r="B88" s="47"/>
      <c r="C88" s="47"/>
      <c r="D88" s="47" t="s">
        <v>1160</v>
      </c>
      <c r="E88" s="47" t="s">
        <v>44</v>
      </c>
      <c r="F88" s="48">
        <v>-2.16</v>
      </c>
      <c r="G88" s="48"/>
      <c r="H88" s="48" t="s">
        <v>97</v>
      </c>
      <c r="I88" s="47" t="s">
        <v>73</v>
      </c>
      <c r="J88" s="48" t="s">
        <v>1037</v>
      </c>
      <c r="K88" s="47"/>
      <c r="L88" s="42"/>
    </row>
    <row r="89" spans="1:12" x14ac:dyDescent="0.35">
      <c r="A89" s="6"/>
      <c r="B89" s="7"/>
      <c r="C89" s="7"/>
      <c r="D89" s="47" t="s">
        <v>1156</v>
      </c>
      <c r="E89" s="47" t="s">
        <v>44</v>
      </c>
      <c r="F89" s="10">
        <v>-1.44</v>
      </c>
      <c r="G89" s="10"/>
      <c r="H89" s="48" t="s">
        <v>97</v>
      </c>
      <c r="I89" s="47" t="s">
        <v>73</v>
      </c>
      <c r="J89" s="48" t="s">
        <v>1037</v>
      </c>
      <c r="K89" s="7"/>
      <c r="L89" s="43"/>
    </row>
    <row r="90" spans="1:12" x14ac:dyDescent="0.35">
      <c r="A90" s="6"/>
      <c r="B90" s="7"/>
      <c r="C90" s="7"/>
      <c r="D90" s="7" t="s">
        <v>1173</v>
      </c>
      <c r="E90" s="7" t="s">
        <v>1162</v>
      </c>
      <c r="F90" s="10">
        <v>-1.44</v>
      </c>
      <c r="G90" s="10"/>
      <c r="H90" s="10" t="s">
        <v>97</v>
      </c>
      <c r="I90" s="7" t="s">
        <v>73</v>
      </c>
      <c r="J90" s="10" t="s">
        <v>1037</v>
      </c>
      <c r="K90" s="7"/>
      <c r="L90" s="43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09A3-D872-448B-BCDA-3E0E4E1CCA8E}">
  <dimension ref="A1:B46"/>
  <sheetViews>
    <sheetView tabSelected="1" workbookViewId="0">
      <selection activeCell="A5" sqref="A5:A17"/>
    </sheetView>
  </sheetViews>
  <sheetFormatPr defaultRowHeight="12.75" x14ac:dyDescent="0.35"/>
  <cols>
    <col min="1" max="1" width="28.1992187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2" spans="1:2" x14ac:dyDescent="0.35">
      <c r="A2" s="13" t="s">
        <v>1020</v>
      </c>
      <c r="B2" t="s">
        <v>500</v>
      </c>
    </row>
    <row r="4" spans="1:2" x14ac:dyDescent="0.35">
      <c r="A4" s="13" t="s">
        <v>326</v>
      </c>
      <c r="B4" t="s">
        <v>207</v>
      </c>
    </row>
    <row r="5" spans="1:2" x14ac:dyDescent="0.35">
      <c r="A5" s="14" t="s">
        <v>176</v>
      </c>
      <c r="B5" s="12">
        <v>550</v>
      </c>
    </row>
    <row r="6" spans="1:2" x14ac:dyDescent="0.35">
      <c r="A6" s="28" t="s">
        <v>59</v>
      </c>
      <c r="B6" s="12">
        <v>550</v>
      </c>
    </row>
    <row r="7" spans="1:2" x14ac:dyDescent="0.35">
      <c r="A7" s="14" t="s">
        <v>45</v>
      </c>
      <c r="B7" s="12">
        <v>-278.77000000000004</v>
      </c>
    </row>
    <row r="8" spans="1:2" x14ac:dyDescent="0.35">
      <c r="A8" s="28" t="s">
        <v>1052</v>
      </c>
      <c r="B8" s="12">
        <v>-136.11000000000001</v>
      </c>
    </row>
    <row r="9" spans="1:2" x14ac:dyDescent="0.35">
      <c r="A9" s="28" t="s">
        <v>1028</v>
      </c>
      <c r="B9" s="12">
        <v>-44.86</v>
      </c>
    </row>
    <row r="10" spans="1:2" x14ac:dyDescent="0.35">
      <c r="A10" s="28" t="s">
        <v>46</v>
      </c>
      <c r="B10" s="12">
        <v>-20</v>
      </c>
    </row>
    <row r="11" spans="1:2" x14ac:dyDescent="0.35">
      <c r="A11" s="28" t="s">
        <v>1159</v>
      </c>
      <c r="B11" s="12">
        <v>-77.8</v>
      </c>
    </row>
    <row r="12" spans="1:2" x14ac:dyDescent="0.35">
      <c r="A12" s="14" t="s">
        <v>50</v>
      </c>
      <c r="B12" s="12">
        <v>-764.53000000000009</v>
      </c>
    </row>
    <row r="13" spans="1:2" x14ac:dyDescent="0.35">
      <c r="A13" s="28" t="s">
        <v>165</v>
      </c>
      <c r="B13" s="12">
        <v>-18.98</v>
      </c>
    </row>
    <row r="14" spans="1:2" x14ac:dyDescent="0.35">
      <c r="A14" s="28" t="s">
        <v>15</v>
      </c>
      <c r="B14" s="12">
        <v>-245.65</v>
      </c>
    </row>
    <row r="15" spans="1:2" x14ac:dyDescent="0.35">
      <c r="A15" s="28" t="s">
        <v>19</v>
      </c>
      <c r="B15" s="12">
        <v>-225.85</v>
      </c>
    </row>
    <row r="16" spans="1:2" x14ac:dyDescent="0.35">
      <c r="A16" s="28" t="s">
        <v>195</v>
      </c>
      <c r="B16" s="12">
        <v>-34.950000000000003</v>
      </c>
    </row>
    <row r="17" spans="1:2" x14ac:dyDescent="0.35">
      <c r="A17" s="28" t="s">
        <v>1095</v>
      </c>
      <c r="B17" s="12">
        <v>-180</v>
      </c>
    </row>
    <row r="18" spans="1:2" x14ac:dyDescent="0.35">
      <c r="A18" s="28" t="s">
        <v>21</v>
      </c>
      <c r="B18" s="12">
        <v>-59.1</v>
      </c>
    </row>
    <row r="19" spans="1:2" x14ac:dyDescent="0.35">
      <c r="A19" s="14" t="s">
        <v>58</v>
      </c>
      <c r="B19" s="12">
        <v>6091.44</v>
      </c>
    </row>
    <row r="20" spans="1:2" x14ac:dyDescent="0.35">
      <c r="A20" s="28" t="s">
        <v>59</v>
      </c>
      <c r="B20" s="12">
        <v>6091.44</v>
      </c>
    </row>
    <row r="21" spans="1:2" x14ac:dyDescent="0.35">
      <c r="A21" s="14" t="s">
        <v>648</v>
      </c>
      <c r="B21" s="12">
        <v>1396.9</v>
      </c>
    </row>
    <row r="22" spans="1:2" x14ac:dyDescent="0.35">
      <c r="A22" s="28" t="s">
        <v>59</v>
      </c>
      <c r="B22" s="12">
        <v>1396.9</v>
      </c>
    </row>
    <row r="23" spans="1:2" x14ac:dyDescent="0.35">
      <c r="A23" s="14" t="s">
        <v>251</v>
      </c>
      <c r="B23" s="12">
        <v>-86.34</v>
      </c>
    </row>
    <row r="24" spans="1:2" x14ac:dyDescent="0.35">
      <c r="A24" s="28" t="s">
        <v>670</v>
      </c>
      <c r="B24" s="12">
        <v>-40</v>
      </c>
    </row>
    <row r="25" spans="1:2" x14ac:dyDescent="0.35">
      <c r="A25" s="28" t="s">
        <v>288</v>
      </c>
      <c r="B25" s="12">
        <v>-46.339999999999996</v>
      </c>
    </row>
    <row r="26" spans="1:2" x14ac:dyDescent="0.35">
      <c r="A26" s="14" t="s">
        <v>90</v>
      </c>
      <c r="B26" s="12">
        <v>-98.78</v>
      </c>
    </row>
    <row r="27" spans="1:2" x14ac:dyDescent="0.35">
      <c r="A27" s="28" t="s">
        <v>106</v>
      </c>
      <c r="B27" s="12">
        <v>-18.189999999999998</v>
      </c>
    </row>
    <row r="28" spans="1:2" x14ac:dyDescent="0.35">
      <c r="A28" s="28" t="s">
        <v>78</v>
      </c>
      <c r="B28" s="12">
        <v>-80.59</v>
      </c>
    </row>
    <row r="29" spans="1:2" x14ac:dyDescent="0.35">
      <c r="A29" s="14" t="s">
        <v>1040</v>
      </c>
      <c r="B29" s="12">
        <v>-67.309999999999988</v>
      </c>
    </row>
    <row r="30" spans="1:2" x14ac:dyDescent="0.35">
      <c r="A30" s="28" t="s">
        <v>464</v>
      </c>
      <c r="B30" s="12">
        <v>-67.309999999999988</v>
      </c>
    </row>
    <row r="31" spans="1:2" x14ac:dyDescent="0.35">
      <c r="A31" s="14" t="s">
        <v>136</v>
      </c>
      <c r="B31" s="12">
        <v>-1190</v>
      </c>
    </row>
    <row r="32" spans="1:2" x14ac:dyDescent="0.35">
      <c r="A32" s="28" t="s">
        <v>137</v>
      </c>
      <c r="B32" s="12">
        <v>-1190</v>
      </c>
    </row>
    <row r="33" spans="1:2" x14ac:dyDescent="0.35">
      <c r="A33" s="14" t="s">
        <v>464</v>
      </c>
      <c r="B33" s="12">
        <v>-138.72999999999999</v>
      </c>
    </row>
    <row r="34" spans="1:2" x14ac:dyDescent="0.35">
      <c r="A34" s="28" t="s">
        <v>465</v>
      </c>
      <c r="B34" s="12">
        <v>-6.6</v>
      </c>
    </row>
    <row r="35" spans="1:2" x14ac:dyDescent="0.35">
      <c r="A35" s="28" t="s">
        <v>1025</v>
      </c>
      <c r="B35" s="12">
        <v>-132.13</v>
      </c>
    </row>
    <row r="36" spans="1:2" x14ac:dyDescent="0.35">
      <c r="A36" s="14" t="s">
        <v>77</v>
      </c>
      <c r="B36" s="12">
        <v>-307.53000000000003</v>
      </c>
    </row>
    <row r="37" spans="1:2" x14ac:dyDescent="0.35">
      <c r="A37" s="28" t="s">
        <v>78</v>
      </c>
      <c r="B37" s="12">
        <v>-307.53000000000003</v>
      </c>
    </row>
    <row r="38" spans="1:2" x14ac:dyDescent="0.35">
      <c r="A38" s="14" t="s">
        <v>73</v>
      </c>
      <c r="B38" s="12">
        <v>-385.82999999999993</v>
      </c>
    </row>
    <row r="39" spans="1:2" x14ac:dyDescent="0.35">
      <c r="A39" s="28" t="s">
        <v>309</v>
      </c>
      <c r="B39" s="12">
        <v>-270.41999999999996</v>
      </c>
    </row>
    <row r="40" spans="1:2" x14ac:dyDescent="0.35">
      <c r="A40" s="28" t="s">
        <v>112</v>
      </c>
      <c r="B40" s="12">
        <v>-70.87</v>
      </c>
    </row>
    <row r="41" spans="1:2" x14ac:dyDescent="0.35">
      <c r="A41" s="28" t="s">
        <v>74</v>
      </c>
      <c r="B41" s="12">
        <v>-3.9</v>
      </c>
    </row>
    <row r="42" spans="1:2" x14ac:dyDescent="0.35">
      <c r="A42" s="28" t="s">
        <v>1037</v>
      </c>
      <c r="B42" s="12">
        <v>-8.64</v>
      </c>
    </row>
    <row r="43" spans="1:2" x14ac:dyDescent="0.35">
      <c r="A43" s="28" t="s">
        <v>1040</v>
      </c>
      <c r="B43" s="12">
        <v>-32</v>
      </c>
    </row>
    <row r="44" spans="1:2" x14ac:dyDescent="0.35">
      <c r="A44" s="14" t="s">
        <v>1698</v>
      </c>
      <c r="B44" s="12">
        <v>-881.2</v>
      </c>
    </row>
    <row r="45" spans="1:2" x14ac:dyDescent="0.35">
      <c r="A45" s="28" t="s">
        <v>205</v>
      </c>
      <c r="B45" s="12">
        <v>-881.2</v>
      </c>
    </row>
    <row r="46" spans="1:2" x14ac:dyDescent="0.35">
      <c r="A46" s="14" t="s">
        <v>208</v>
      </c>
      <c r="B46" s="12">
        <v>3839.3199999999988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D9BD-1D41-4D13-9748-81AC91C5F40D}">
  <dimension ref="A1:H29"/>
  <sheetViews>
    <sheetView topLeftCell="A2" workbookViewId="0">
      <selection activeCell="Q38" sqref="Q38"/>
    </sheetView>
  </sheetViews>
  <sheetFormatPr defaultRowHeight="12.75" x14ac:dyDescent="0.35"/>
  <cols>
    <col min="2" max="2" width="18.59765625" bestFit="1" customWidth="1"/>
  </cols>
  <sheetData>
    <row r="1" spans="1:8" x14ac:dyDescent="0.35">
      <c r="A1" t="s">
        <v>1179</v>
      </c>
    </row>
    <row r="3" spans="1:8" ht="13.15" x14ac:dyDescent="0.4">
      <c r="B3" s="46" t="s">
        <v>45</v>
      </c>
      <c r="C3" s="46"/>
      <c r="D3" s="46">
        <v>-258.77000000000004</v>
      </c>
      <c r="E3" s="46"/>
      <c r="F3" s="46"/>
      <c r="G3" s="46"/>
      <c r="H3" s="46"/>
    </row>
    <row r="4" spans="1:8" x14ac:dyDescent="0.35">
      <c r="B4" t="s">
        <v>1028</v>
      </c>
      <c r="C4">
        <v>-44.86</v>
      </c>
    </row>
    <row r="5" spans="1:8" s="46" customFormat="1" ht="13.15" x14ac:dyDescent="0.4">
      <c r="B5" t="s">
        <v>1052</v>
      </c>
      <c r="C5">
        <v>-136.11000000000001</v>
      </c>
      <c r="D5"/>
      <c r="E5"/>
      <c r="F5"/>
      <c r="G5"/>
      <c r="H5"/>
    </row>
    <row r="6" spans="1:8" x14ac:dyDescent="0.35">
      <c r="B6" t="s">
        <v>1159</v>
      </c>
      <c r="C6">
        <v>-77.8</v>
      </c>
    </row>
    <row r="7" spans="1:8" ht="13.15" x14ac:dyDescent="0.4">
      <c r="B7" s="46" t="s">
        <v>50</v>
      </c>
      <c r="C7" s="46"/>
      <c r="D7" s="46">
        <v>-102.02</v>
      </c>
      <c r="E7" s="46"/>
      <c r="F7" s="46"/>
      <c r="G7" s="46"/>
      <c r="H7" s="46"/>
    </row>
    <row r="8" spans="1:8" x14ac:dyDescent="0.35">
      <c r="B8" t="s">
        <v>15</v>
      </c>
      <c r="C8">
        <v>-102.02</v>
      </c>
    </row>
    <row r="9" spans="1:8" s="46" customFormat="1" ht="13.15" x14ac:dyDescent="0.4">
      <c r="B9" s="46" t="s">
        <v>464</v>
      </c>
      <c r="D9" s="46">
        <v>-132.13</v>
      </c>
    </row>
    <row r="10" spans="1:8" x14ac:dyDescent="0.35">
      <c r="B10" t="s">
        <v>1025</v>
      </c>
      <c r="C10">
        <v>-132.13</v>
      </c>
    </row>
    <row r="11" spans="1:8" s="46" customFormat="1" ht="13.15" x14ac:dyDescent="0.4">
      <c r="B11" s="46" t="s">
        <v>73</v>
      </c>
      <c r="D11" s="46">
        <v>-316.13</v>
      </c>
    </row>
    <row r="12" spans="1:8" x14ac:dyDescent="0.35">
      <c r="B12" t="s">
        <v>112</v>
      </c>
      <c r="C12">
        <v>-70.87</v>
      </c>
    </row>
    <row r="13" spans="1:8" s="46" customFormat="1" ht="13.15" x14ac:dyDescent="0.4">
      <c r="B13" t="s">
        <v>74</v>
      </c>
      <c r="C13">
        <v>-3.9</v>
      </c>
      <c r="D13"/>
      <c r="E13"/>
      <c r="F13"/>
      <c r="G13"/>
      <c r="H13"/>
    </row>
    <row r="14" spans="1:8" x14ac:dyDescent="0.35">
      <c r="B14" t="s">
        <v>1163</v>
      </c>
      <c r="C14">
        <v>-241.36</v>
      </c>
    </row>
    <row r="15" spans="1:8" ht="13.15" x14ac:dyDescent="0.4">
      <c r="B15" s="46" t="s">
        <v>1040</v>
      </c>
      <c r="C15" s="46"/>
      <c r="D15" s="46">
        <v>-99.309999999999988</v>
      </c>
      <c r="E15" s="46"/>
      <c r="F15" s="46"/>
      <c r="G15" s="46"/>
      <c r="H15" s="46"/>
    </row>
    <row r="16" spans="1:8" x14ac:dyDescent="0.35">
      <c r="B16" t="s">
        <v>464</v>
      </c>
      <c r="C16">
        <v>-99.309999999999988</v>
      </c>
    </row>
    <row r="17" spans="2:8" s="46" customFormat="1" ht="13.15" x14ac:dyDescent="0.4">
      <c r="B17" s="46" t="s">
        <v>1037</v>
      </c>
      <c r="D17" s="46">
        <v>-8.64</v>
      </c>
    </row>
    <row r="18" spans="2:8" x14ac:dyDescent="0.35">
      <c r="B18" t="s">
        <v>78</v>
      </c>
      <c r="C18">
        <v>-8.64</v>
      </c>
    </row>
    <row r="19" spans="2:8" s="46" customFormat="1" ht="13.15" x14ac:dyDescent="0.4">
      <c r="B19" s="46" t="s">
        <v>1180</v>
      </c>
      <c r="D19" s="46">
        <f>-205.14*2</f>
        <v>-410.28</v>
      </c>
      <c r="E19"/>
      <c r="F19"/>
      <c r="G19" t="s">
        <v>1181</v>
      </c>
      <c r="H19">
        <v>194.32</v>
      </c>
    </row>
    <row r="20" spans="2:8" ht="13.15" x14ac:dyDescent="0.4">
      <c r="B20" s="46" t="s">
        <v>1182</v>
      </c>
      <c r="C20" s="46"/>
      <c r="D20" s="46">
        <f>-258.29*2</f>
        <v>-516.58000000000004</v>
      </c>
      <c r="G20" s="44" t="s">
        <v>1183</v>
      </c>
      <c r="H20" s="45">
        <v>176.67</v>
      </c>
    </row>
    <row r="21" spans="2:8" ht="13.15" x14ac:dyDescent="0.4">
      <c r="B21" s="46" t="s">
        <v>1184</v>
      </c>
      <c r="C21" s="46"/>
      <c r="D21" s="46">
        <v>-70</v>
      </c>
      <c r="G21" s="45" t="s">
        <v>1185</v>
      </c>
      <c r="H21" s="45">
        <v>226.8</v>
      </c>
    </row>
    <row r="22" spans="2:8" ht="13.15" x14ac:dyDescent="0.4">
      <c r="B22" s="46" t="s">
        <v>1186</v>
      </c>
      <c r="C22" s="46"/>
      <c r="D22" s="46">
        <v>-582.55999999999995</v>
      </c>
      <c r="G22" s="45" t="s">
        <v>1187</v>
      </c>
      <c r="H22" s="45">
        <v>296.89</v>
      </c>
    </row>
    <row r="23" spans="2:8" ht="13.15" x14ac:dyDescent="0.4">
      <c r="B23" s="46" t="s">
        <v>897</v>
      </c>
      <c r="C23" s="46"/>
      <c r="D23" s="46">
        <f>-H29</f>
        <v>-1915.88</v>
      </c>
      <c r="G23" s="45" t="s">
        <v>1188</v>
      </c>
      <c r="H23" s="45">
        <v>161.94</v>
      </c>
    </row>
    <row r="24" spans="2:8" x14ac:dyDescent="0.35">
      <c r="G24" s="45" t="s">
        <v>1189</v>
      </c>
      <c r="H24" s="45">
        <v>130.68</v>
      </c>
    </row>
    <row r="25" spans="2:8" ht="13.15" x14ac:dyDescent="0.4">
      <c r="B25" s="46" t="s">
        <v>1190</v>
      </c>
      <c r="C25" s="46"/>
      <c r="D25" s="46">
        <f>SUM(D3:D23)</f>
        <v>-4412.2999999999993</v>
      </c>
      <c r="G25" s="45" t="s">
        <v>1191</v>
      </c>
      <c r="H25" s="45">
        <v>150.44999999999999</v>
      </c>
    </row>
    <row r="26" spans="2:8" x14ac:dyDescent="0.35">
      <c r="G26" s="45" t="s">
        <v>1192</v>
      </c>
      <c r="H26" s="45">
        <v>196.33</v>
      </c>
    </row>
    <row r="27" spans="2:8" x14ac:dyDescent="0.35">
      <c r="G27" s="45" t="s">
        <v>1193</v>
      </c>
      <c r="H27" s="45">
        <v>191.9</v>
      </c>
    </row>
    <row r="28" spans="2:8" x14ac:dyDescent="0.35">
      <c r="G28" s="45" t="s">
        <v>1194</v>
      </c>
      <c r="H28" s="45">
        <v>189.9</v>
      </c>
    </row>
    <row r="29" spans="2:8" ht="13.15" x14ac:dyDescent="0.4">
      <c r="G29" s="46" t="s">
        <v>1190</v>
      </c>
      <c r="H29">
        <f>SUM(H19:H28)</f>
        <v>1915.88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30C9-A719-4B44-9E7D-FD2C9AA03709}">
  <dimension ref="A1:K54"/>
  <sheetViews>
    <sheetView workbookViewId="0">
      <selection activeCell="H6" sqref="H6:I6"/>
    </sheetView>
  </sheetViews>
  <sheetFormatPr defaultRowHeight="12.75" x14ac:dyDescent="0.35"/>
  <cols>
    <col min="1" max="1" width="20.59765625" customWidth="1"/>
    <col min="2" max="2" width="16.86328125" customWidth="1"/>
    <col min="3" max="3" width="12.265625" customWidth="1"/>
    <col min="4" max="4" width="47.1328125" customWidth="1"/>
    <col min="6" max="7" width="9.59765625" customWidth="1"/>
    <col min="8" max="8" width="16.3984375" bestFit="1" customWidth="1"/>
    <col min="9" max="9" width="19.73046875" bestFit="1" customWidth="1"/>
    <col min="10" max="10" width="26" bestFit="1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410</v>
      </c>
      <c r="H1" s="4" t="s">
        <v>38</v>
      </c>
      <c r="I1" s="4" t="s">
        <v>39</v>
      </c>
      <c r="J1" s="4" t="s">
        <v>40</v>
      </c>
      <c r="K1" s="5" t="s">
        <v>708</v>
      </c>
    </row>
    <row r="2" spans="1:11" x14ac:dyDescent="0.35">
      <c r="A2" s="1" t="s">
        <v>1286</v>
      </c>
      <c r="B2" s="47" t="s">
        <v>1031</v>
      </c>
      <c r="C2" s="47" t="s">
        <v>1285</v>
      </c>
      <c r="D2" s="47" t="s">
        <v>1158</v>
      </c>
      <c r="E2" s="47" t="s">
        <v>44</v>
      </c>
      <c r="F2" s="48">
        <v>-28.81</v>
      </c>
      <c r="G2" s="48"/>
      <c r="H2" s="47" t="s">
        <v>73</v>
      </c>
      <c r="I2" s="47" t="s">
        <v>897</v>
      </c>
      <c r="J2" s="47" t="s">
        <v>47</v>
      </c>
      <c r="K2" s="42" t="s">
        <v>713</v>
      </c>
    </row>
    <row r="3" spans="1:11" x14ac:dyDescent="0.35">
      <c r="A3" s="1" t="s">
        <v>1284</v>
      </c>
      <c r="B3" s="47" t="s">
        <v>1031</v>
      </c>
      <c r="C3" s="47" t="s">
        <v>1285</v>
      </c>
      <c r="D3" s="47" t="s">
        <v>1157</v>
      </c>
      <c r="E3" s="47" t="s">
        <v>44</v>
      </c>
      <c r="F3" s="48">
        <v>-6.5</v>
      </c>
      <c r="G3" s="48"/>
      <c r="H3" s="47" t="s">
        <v>73</v>
      </c>
      <c r="I3" s="47" t="s">
        <v>112</v>
      </c>
      <c r="J3" s="47" t="s">
        <v>47</v>
      </c>
      <c r="K3" s="42" t="s">
        <v>713</v>
      </c>
    </row>
    <row r="4" spans="1:11" x14ac:dyDescent="0.35">
      <c r="A4" s="1" t="s">
        <v>1287</v>
      </c>
      <c r="B4" s="47" t="s">
        <v>1031</v>
      </c>
      <c r="C4" s="47" t="s">
        <v>1285</v>
      </c>
      <c r="D4" s="47" t="s">
        <v>1160</v>
      </c>
      <c r="E4" s="47" t="s">
        <v>44</v>
      </c>
      <c r="F4" s="48">
        <v>-2.16</v>
      </c>
      <c r="G4" s="48"/>
      <c r="H4" s="47" t="s">
        <v>90</v>
      </c>
      <c r="I4" s="47" t="s">
        <v>78</v>
      </c>
      <c r="J4" s="47" t="s">
        <v>47</v>
      </c>
      <c r="K4" s="42" t="s">
        <v>713</v>
      </c>
    </row>
    <row r="5" spans="1:11" x14ac:dyDescent="0.35">
      <c r="A5" s="1" t="s">
        <v>1288</v>
      </c>
      <c r="B5" s="47" t="s">
        <v>1031</v>
      </c>
      <c r="C5" s="47" t="s">
        <v>1285</v>
      </c>
      <c r="D5" s="47" t="s">
        <v>1160</v>
      </c>
      <c r="E5" s="47" t="s">
        <v>44</v>
      </c>
      <c r="F5" s="48">
        <v>-2.16</v>
      </c>
      <c r="G5" s="48"/>
      <c r="H5" s="47" t="s">
        <v>90</v>
      </c>
      <c r="I5" s="47" t="s">
        <v>78</v>
      </c>
      <c r="J5" s="47" t="s">
        <v>47</v>
      </c>
      <c r="K5" s="42" t="s">
        <v>713</v>
      </c>
    </row>
    <row r="6" spans="1:11" x14ac:dyDescent="0.35">
      <c r="A6" s="1" t="s">
        <v>1282</v>
      </c>
      <c r="B6" s="47" t="s">
        <v>1023</v>
      </c>
      <c r="C6" s="47" t="s">
        <v>1280</v>
      </c>
      <c r="D6" s="47" t="s">
        <v>1156</v>
      </c>
      <c r="E6" s="47" t="s">
        <v>44</v>
      </c>
      <c r="F6" s="48">
        <v>-1.44</v>
      </c>
      <c r="G6" s="48"/>
      <c r="H6" s="7" t="s">
        <v>464</v>
      </c>
      <c r="I6" s="7" t="s">
        <v>1283</v>
      </c>
      <c r="J6" s="47" t="s">
        <v>47</v>
      </c>
      <c r="K6" s="42" t="s">
        <v>713</v>
      </c>
    </row>
    <row r="7" spans="1:11" x14ac:dyDescent="0.35">
      <c r="A7" s="1" t="s">
        <v>1281</v>
      </c>
      <c r="B7" s="47" t="s">
        <v>1280</v>
      </c>
      <c r="C7" s="47" t="s">
        <v>1280</v>
      </c>
      <c r="D7" s="47" t="s">
        <v>199</v>
      </c>
      <c r="E7" s="47" t="s">
        <v>44</v>
      </c>
      <c r="F7" s="48">
        <v>-3065.52</v>
      </c>
      <c r="G7" s="48"/>
      <c r="H7" s="47" t="s">
        <v>77</v>
      </c>
      <c r="I7" s="47" t="s">
        <v>200</v>
      </c>
      <c r="J7" s="47" t="s">
        <v>79</v>
      </c>
      <c r="K7" s="42" t="s">
        <v>713</v>
      </c>
    </row>
    <row r="8" spans="1:11" x14ac:dyDescent="0.35">
      <c r="A8" s="1" t="s">
        <v>1279</v>
      </c>
      <c r="B8" s="47" t="s">
        <v>1280</v>
      </c>
      <c r="C8" s="47" t="s">
        <v>1270</v>
      </c>
      <c r="D8" s="47" t="s">
        <v>1155</v>
      </c>
      <c r="E8" s="47" t="s">
        <v>44</v>
      </c>
      <c r="F8" s="48">
        <v>-6.96</v>
      </c>
      <c r="G8" s="48"/>
      <c r="H8" s="47" t="s">
        <v>98</v>
      </c>
      <c r="I8" s="47" t="s">
        <v>78</v>
      </c>
      <c r="J8" s="47" t="s">
        <v>47</v>
      </c>
      <c r="K8" s="42" t="s">
        <v>713</v>
      </c>
    </row>
    <row r="9" spans="1:11" x14ac:dyDescent="0.35">
      <c r="A9" s="1" t="s">
        <v>1277</v>
      </c>
      <c r="B9" s="47" t="s">
        <v>1278</v>
      </c>
      <c r="C9" s="47" t="s">
        <v>1270</v>
      </c>
      <c r="D9" s="47" t="s">
        <v>121</v>
      </c>
      <c r="E9" s="47" t="s">
        <v>44</v>
      </c>
      <c r="F9" s="48">
        <v>-7.11</v>
      </c>
      <c r="G9" s="48"/>
      <c r="H9" s="47" t="s">
        <v>50</v>
      </c>
      <c r="I9" s="47" t="s">
        <v>15</v>
      </c>
      <c r="J9" s="47" t="s">
        <v>47</v>
      </c>
      <c r="K9" s="42" t="s">
        <v>713</v>
      </c>
    </row>
    <row r="10" spans="1:11" x14ac:dyDescent="0.35">
      <c r="A10" s="1" t="s">
        <v>1275</v>
      </c>
      <c r="B10" s="47" t="s">
        <v>1276</v>
      </c>
      <c r="C10" s="47" t="s">
        <v>1265</v>
      </c>
      <c r="D10" s="47" t="s">
        <v>197</v>
      </c>
      <c r="E10" s="47" t="s">
        <v>44</v>
      </c>
      <c r="F10" s="48">
        <v>-77.349999999999994</v>
      </c>
      <c r="G10" s="48"/>
      <c r="H10" s="47" t="s">
        <v>50</v>
      </c>
      <c r="I10" s="47" t="s">
        <v>19</v>
      </c>
      <c r="J10" s="47" t="s">
        <v>47</v>
      </c>
      <c r="K10" s="42" t="s">
        <v>713</v>
      </c>
    </row>
    <row r="11" spans="1:11" x14ac:dyDescent="0.35">
      <c r="A11" s="1" t="s">
        <v>1273</v>
      </c>
      <c r="B11" s="47" t="s">
        <v>1274</v>
      </c>
      <c r="C11" s="47" t="s">
        <v>1265</v>
      </c>
      <c r="D11" s="47" t="s">
        <v>450</v>
      </c>
      <c r="E11" s="47" t="s">
        <v>44</v>
      </c>
      <c r="F11" s="48">
        <v>-2.1</v>
      </c>
      <c r="G11" s="48"/>
      <c r="H11" s="47" t="s">
        <v>98</v>
      </c>
      <c r="I11" s="47" t="s">
        <v>78</v>
      </c>
      <c r="J11" s="47" t="s">
        <v>47</v>
      </c>
      <c r="K11" s="42" t="s">
        <v>713</v>
      </c>
    </row>
    <row r="12" spans="1:11" x14ac:dyDescent="0.35">
      <c r="A12" s="1" t="s">
        <v>1269</v>
      </c>
      <c r="B12" s="47" t="s">
        <v>1270</v>
      </c>
      <c r="C12" s="47" t="s">
        <v>1261</v>
      </c>
      <c r="D12" s="47" t="s">
        <v>296</v>
      </c>
      <c r="E12" s="47" t="s">
        <v>44</v>
      </c>
      <c r="F12" s="48">
        <v>-45.9</v>
      </c>
      <c r="G12" s="48"/>
      <c r="H12" s="47" t="s">
        <v>251</v>
      </c>
      <c r="I12" s="47" t="s">
        <v>297</v>
      </c>
      <c r="J12" s="47" t="s">
        <v>47</v>
      </c>
      <c r="K12" s="42" t="s">
        <v>713</v>
      </c>
    </row>
    <row r="13" spans="1:11" x14ac:dyDescent="0.35">
      <c r="A13" s="1" t="s">
        <v>1271</v>
      </c>
      <c r="B13" s="47" t="s">
        <v>1270</v>
      </c>
      <c r="C13" s="47" t="s">
        <v>1270</v>
      </c>
      <c r="D13" s="47" t="s">
        <v>1272</v>
      </c>
      <c r="E13" s="47" t="s">
        <v>44</v>
      </c>
      <c r="F13" s="48">
        <v>550</v>
      </c>
      <c r="G13" s="48"/>
      <c r="H13" s="47" t="s">
        <v>176</v>
      </c>
      <c r="I13" s="47" t="s">
        <v>59</v>
      </c>
      <c r="J13" s="47" t="s">
        <v>60</v>
      </c>
      <c r="K13" s="42" t="s">
        <v>713</v>
      </c>
    </row>
    <row r="14" spans="1:11" x14ac:dyDescent="0.35">
      <c r="A14" s="1" t="s">
        <v>1264</v>
      </c>
      <c r="B14" s="47" t="s">
        <v>1265</v>
      </c>
      <c r="C14" s="47" t="s">
        <v>1258</v>
      </c>
      <c r="D14" s="47" t="s">
        <v>476</v>
      </c>
      <c r="E14" s="47" t="s">
        <v>44</v>
      </c>
      <c r="F14" s="48">
        <v>-18.98</v>
      </c>
      <c r="G14" s="48"/>
      <c r="H14" s="47" t="s">
        <v>98</v>
      </c>
      <c r="I14" s="47" t="s">
        <v>78</v>
      </c>
      <c r="J14" s="47" t="s">
        <v>91</v>
      </c>
      <c r="K14" s="42" t="s">
        <v>713</v>
      </c>
    </row>
    <row r="15" spans="1:11" x14ac:dyDescent="0.35">
      <c r="A15" s="1" t="s">
        <v>1266</v>
      </c>
      <c r="B15" s="47" t="s">
        <v>1265</v>
      </c>
      <c r="C15" s="47" t="s">
        <v>1258</v>
      </c>
      <c r="D15" s="47" t="s">
        <v>567</v>
      </c>
      <c r="E15" s="47" t="s">
        <v>44</v>
      </c>
      <c r="F15" s="48">
        <v>-6.82</v>
      </c>
      <c r="G15" s="48"/>
      <c r="H15" s="47" t="s">
        <v>50</v>
      </c>
      <c r="I15" s="47" t="s">
        <v>78</v>
      </c>
      <c r="J15" s="47" t="s">
        <v>47</v>
      </c>
      <c r="K15" s="42" t="s">
        <v>713</v>
      </c>
    </row>
    <row r="16" spans="1:11" x14ac:dyDescent="0.35">
      <c r="A16" s="1" t="s">
        <v>1268</v>
      </c>
      <c r="B16" s="47" t="s">
        <v>1265</v>
      </c>
      <c r="C16" s="47" t="s">
        <v>1258</v>
      </c>
      <c r="D16" s="47" t="s">
        <v>707</v>
      </c>
      <c r="E16" s="47" t="s">
        <v>44</v>
      </c>
      <c r="F16" s="48">
        <v>-6</v>
      </c>
      <c r="G16" s="48"/>
      <c r="H16" s="47" t="s">
        <v>45</v>
      </c>
      <c r="I16" s="47" t="s">
        <v>361</v>
      </c>
      <c r="J16" s="47" t="s">
        <v>47</v>
      </c>
      <c r="K16" s="42" t="s">
        <v>713</v>
      </c>
    </row>
    <row r="17" spans="1:11" x14ac:dyDescent="0.35">
      <c r="A17" s="1" t="s">
        <v>1267</v>
      </c>
      <c r="B17" s="47" t="s">
        <v>1265</v>
      </c>
      <c r="C17" s="47" t="s">
        <v>1258</v>
      </c>
      <c r="D17" s="47" t="s">
        <v>773</v>
      </c>
      <c r="E17" s="47" t="s">
        <v>44</v>
      </c>
      <c r="F17" s="48">
        <v>-0.6</v>
      </c>
      <c r="G17" s="48"/>
      <c r="H17" s="47" t="s">
        <v>98</v>
      </c>
      <c r="I17" s="47" t="s">
        <v>78</v>
      </c>
      <c r="J17" s="47" t="s">
        <v>47</v>
      </c>
      <c r="K17" s="42" t="s">
        <v>713</v>
      </c>
    </row>
    <row r="18" spans="1:11" x14ac:dyDescent="0.35">
      <c r="A18" s="1" t="s">
        <v>1262</v>
      </c>
      <c r="B18" s="47" t="s">
        <v>1261</v>
      </c>
      <c r="C18" s="47" t="s">
        <v>1261</v>
      </c>
      <c r="D18" s="47" t="s">
        <v>96</v>
      </c>
      <c r="E18" s="47" t="s">
        <v>44</v>
      </c>
      <c r="F18" s="48">
        <v>-4000</v>
      </c>
      <c r="G18" s="48" t="s">
        <v>97</v>
      </c>
      <c r="H18" s="47" t="s">
        <v>77</v>
      </c>
      <c r="I18" s="47" t="s">
        <v>765</v>
      </c>
      <c r="J18" s="47" t="s">
        <v>60</v>
      </c>
      <c r="K18" s="42" t="s">
        <v>713</v>
      </c>
    </row>
    <row r="19" spans="1:11" x14ac:dyDescent="0.35">
      <c r="A19" s="1" t="s">
        <v>1263</v>
      </c>
      <c r="B19" s="47" t="s">
        <v>1261</v>
      </c>
      <c r="C19" s="47" t="s">
        <v>1249</v>
      </c>
      <c r="D19" s="47" t="s">
        <v>283</v>
      </c>
      <c r="E19" s="47" t="s">
        <v>44</v>
      </c>
      <c r="F19" s="48">
        <v>-46.02</v>
      </c>
      <c r="G19" s="48"/>
      <c r="H19" s="47" t="s">
        <v>90</v>
      </c>
      <c r="I19" s="47" t="s">
        <v>78</v>
      </c>
      <c r="J19" s="47" t="s">
        <v>91</v>
      </c>
      <c r="K19" s="42" t="s">
        <v>713</v>
      </c>
    </row>
    <row r="20" spans="1:11" x14ac:dyDescent="0.35">
      <c r="A20" s="1" t="s">
        <v>1260</v>
      </c>
      <c r="B20" s="47" t="s">
        <v>1261</v>
      </c>
      <c r="C20" s="47" t="s">
        <v>1256</v>
      </c>
      <c r="D20" s="47" t="s">
        <v>390</v>
      </c>
      <c r="E20" s="47" t="s">
        <v>44</v>
      </c>
      <c r="F20" s="48">
        <v>-30.56</v>
      </c>
      <c r="G20" s="48"/>
      <c r="H20" s="47" t="s">
        <v>50</v>
      </c>
      <c r="I20" s="47" t="s">
        <v>15</v>
      </c>
      <c r="J20" s="47" t="s">
        <v>47</v>
      </c>
      <c r="K20" s="42" t="s">
        <v>713</v>
      </c>
    </row>
    <row r="21" spans="1:11" x14ac:dyDescent="0.35">
      <c r="A21" s="1" t="s">
        <v>1257</v>
      </c>
      <c r="B21" s="47" t="s">
        <v>1258</v>
      </c>
      <c r="C21" s="47" t="s">
        <v>1258</v>
      </c>
      <c r="D21" s="47" t="s">
        <v>1259</v>
      </c>
      <c r="E21" s="47" t="s">
        <v>44</v>
      </c>
      <c r="F21" s="48">
        <v>30</v>
      </c>
      <c r="G21" s="48"/>
      <c r="H21" s="47" t="s">
        <v>648</v>
      </c>
      <c r="I21" s="47" t="s">
        <v>59</v>
      </c>
      <c r="J21" s="47" t="s">
        <v>60</v>
      </c>
      <c r="K21" s="42" t="s">
        <v>713</v>
      </c>
    </row>
    <row r="22" spans="1:11" x14ac:dyDescent="0.35">
      <c r="A22" s="1" t="s">
        <v>1255</v>
      </c>
      <c r="B22" s="47" t="s">
        <v>1256</v>
      </c>
      <c r="C22" s="47" t="s">
        <v>1249</v>
      </c>
      <c r="D22" s="47" t="s">
        <v>121</v>
      </c>
      <c r="E22" s="47" t="s">
        <v>44</v>
      </c>
      <c r="F22" s="48">
        <v>-10.53</v>
      </c>
      <c r="G22" s="48"/>
      <c r="H22" s="47" t="s">
        <v>50</v>
      </c>
      <c r="I22" s="47" t="s">
        <v>15</v>
      </c>
      <c r="J22" s="47" t="s">
        <v>47</v>
      </c>
      <c r="K22" s="42" t="s">
        <v>713</v>
      </c>
    </row>
    <row r="23" spans="1:11" x14ac:dyDescent="0.35">
      <c r="A23" s="1" t="s">
        <v>1252</v>
      </c>
      <c r="B23" s="47" t="s">
        <v>1253</v>
      </c>
      <c r="C23" s="47" t="s">
        <v>1247</v>
      </c>
      <c r="D23" s="47" t="s">
        <v>63</v>
      </c>
      <c r="E23" s="47" t="s">
        <v>44</v>
      </c>
      <c r="F23" s="48">
        <v>-3.95</v>
      </c>
      <c r="G23" s="48"/>
      <c r="H23" s="47" t="s">
        <v>50</v>
      </c>
      <c r="I23" s="47" t="s">
        <v>15</v>
      </c>
      <c r="J23" s="47" t="s">
        <v>47</v>
      </c>
      <c r="K23" s="42" t="s">
        <v>713</v>
      </c>
    </row>
    <row r="24" spans="1:11" x14ac:dyDescent="0.35">
      <c r="A24" s="1" t="s">
        <v>1254</v>
      </c>
      <c r="B24" s="47" t="s">
        <v>1253</v>
      </c>
      <c r="C24" s="47" t="s">
        <v>1249</v>
      </c>
      <c r="D24" s="47" t="s">
        <v>121</v>
      </c>
      <c r="E24" s="47" t="s">
        <v>44</v>
      </c>
      <c r="F24" s="48">
        <v>-1.68</v>
      </c>
      <c r="G24" s="48"/>
      <c r="H24" s="47" t="s">
        <v>50</v>
      </c>
      <c r="I24" s="47" t="s">
        <v>15</v>
      </c>
      <c r="J24" s="47" t="s">
        <v>47</v>
      </c>
      <c r="K24" s="42" t="s">
        <v>713</v>
      </c>
    </row>
    <row r="25" spans="1:11" x14ac:dyDescent="0.35">
      <c r="A25" s="1" t="s">
        <v>1251</v>
      </c>
      <c r="B25" s="47" t="s">
        <v>1249</v>
      </c>
      <c r="C25" s="47" t="s">
        <v>1245</v>
      </c>
      <c r="D25" s="47" t="s">
        <v>197</v>
      </c>
      <c r="E25" s="47" t="s">
        <v>44</v>
      </c>
      <c r="F25" s="48">
        <v>-183.4</v>
      </c>
      <c r="G25" s="48"/>
      <c r="H25" s="47" t="s">
        <v>50</v>
      </c>
      <c r="I25" s="47" t="s">
        <v>19</v>
      </c>
      <c r="J25" s="47" t="s">
        <v>47</v>
      </c>
      <c r="K25" s="42" t="s">
        <v>713</v>
      </c>
    </row>
    <row r="26" spans="1:11" x14ac:dyDescent="0.35">
      <c r="A26" s="1" t="s">
        <v>1248</v>
      </c>
      <c r="B26" s="47" t="s">
        <v>1249</v>
      </c>
      <c r="C26" s="47" t="s">
        <v>1245</v>
      </c>
      <c r="D26" s="47" t="s">
        <v>1250</v>
      </c>
      <c r="E26" s="47" t="s">
        <v>44</v>
      </c>
      <c r="F26" s="48">
        <v>-59.17</v>
      </c>
      <c r="G26" s="48"/>
      <c r="H26" s="47" t="s">
        <v>50</v>
      </c>
      <c r="I26" s="47" t="s">
        <v>78</v>
      </c>
      <c r="J26" s="47" t="s">
        <v>47</v>
      </c>
      <c r="K26" s="42" t="s">
        <v>713</v>
      </c>
    </row>
    <row r="27" spans="1:11" x14ac:dyDescent="0.35">
      <c r="A27" s="1" t="s">
        <v>1246</v>
      </c>
      <c r="B27" s="47" t="s">
        <v>1247</v>
      </c>
      <c r="C27" s="47" t="s">
        <v>1247</v>
      </c>
      <c r="D27" s="47" t="s">
        <v>731</v>
      </c>
      <c r="E27" s="47" t="s">
        <v>44</v>
      </c>
      <c r="F27" s="48">
        <v>-28</v>
      </c>
      <c r="G27" s="48"/>
      <c r="H27" s="47" t="s">
        <v>77</v>
      </c>
      <c r="I27" s="47" t="s">
        <v>78</v>
      </c>
      <c r="J27" s="47" t="s">
        <v>79</v>
      </c>
      <c r="K27" s="42" t="s">
        <v>713</v>
      </c>
    </row>
    <row r="28" spans="1:11" x14ac:dyDescent="0.35">
      <c r="A28" s="1" t="s">
        <v>1244</v>
      </c>
      <c r="B28" s="47" t="s">
        <v>1245</v>
      </c>
      <c r="C28" s="47" t="s">
        <v>1238</v>
      </c>
      <c r="D28" s="47" t="s">
        <v>431</v>
      </c>
      <c r="E28" s="47" t="s">
        <v>44</v>
      </c>
      <c r="F28" s="48">
        <v>-35</v>
      </c>
      <c r="G28" s="48"/>
      <c r="H28" s="47" t="s">
        <v>251</v>
      </c>
      <c r="I28" s="47" t="s">
        <v>288</v>
      </c>
      <c r="J28" s="47" t="s">
        <v>47</v>
      </c>
      <c r="K28" s="42" t="s">
        <v>713</v>
      </c>
    </row>
    <row r="29" spans="1:11" x14ac:dyDescent="0.35">
      <c r="A29" s="1" t="s">
        <v>1243</v>
      </c>
      <c r="B29" s="47" t="s">
        <v>1241</v>
      </c>
      <c r="C29" s="47" t="s">
        <v>1229</v>
      </c>
      <c r="D29" s="47" t="s">
        <v>707</v>
      </c>
      <c r="E29" s="47" t="s">
        <v>44</v>
      </c>
      <c r="F29" s="48">
        <v>-33.4</v>
      </c>
      <c r="G29" s="48"/>
      <c r="H29" s="47" t="s">
        <v>45</v>
      </c>
      <c r="I29" s="47" t="s">
        <v>361</v>
      </c>
      <c r="J29" s="47" t="s">
        <v>47</v>
      </c>
      <c r="K29" s="42" t="s">
        <v>713</v>
      </c>
    </row>
    <row r="30" spans="1:11" x14ac:dyDescent="0.35">
      <c r="A30" s="1" t="s">
        <v>1240</v>
      </c>
      <c r="B30" s="47" t="s">
        <v>1241</v>
      </c>
      <c r="C30" s="47" t="s">
        <v>1229</v>
      </c>
      <c r="D30" s="47" t="s">
        <v>1242</v>
      </c>
      <c r="E30" s="47" t="s">
        <v>44</v>
      </c>
      <c r="F30" s="48">
        <v>-7.55</v>
      </c>
      <c r="G30" s="48"/>
      <c r="H30" s="47" t="s">
        <v>45</v>
      </c>
      <c r="I30" s="47" t="s">
        <v>46</v>
      </c>
      <c r="J30" s="47" t="s">
        <v>47</v>
      </c>
      <c r="K30" s="42" t="s">
        <v>713</v>
      </c>
    </row>
    <row r="31" spans="1:11" x14ac:dyDescent="0.35">
      <c r="A31" s="1" t="s">
        <v>1237</v>
      </c>
      <c r="B31" s="47" t="s">
        <v>1238</v>
      </c>
      <c r="C31" s="47" t="s">
        <v>1229</v>
      </c>
      <c r="D31" s="47" t="s">
        <v>1239</v>
      </c>
      <c r="E31" s="47" t="s">
        <v>44</v>
      </c>
      <c r="F31" s="48">
        <v>-36.799999999999997</v>
      </c>
      <c r="G31" s="48"/>
      <c r="H31" s="47" t="s">
        <v>45</v>
      </c>
      <c r="I31" s="47" t="s">
        <v>46</v>
      </c>
      <c r="J31" s="47" t="s">
        <v>47</v>
      </c>
      <c r="K31" s="42" t="s">
        <v>713</v>
      </c>
    </row>
    <row r="32" spans="1:11" x14ac:dyDescent="0.35">
      <c r="A32" s="1" t="s">
        <v>1235</v>
      </c>
      <c r="B32" s="47" t="s">
        <v>1236</v>
      </c>
      <c r="C32" s="47" t="s">
        <v>1225</v>
      </c>
      <c r="D32" s="47" t="s">
        <v>63</v>
      </c>
      <c r="E32" s="47" t="s">
        <v>44</v>
      </c>
      <c r="F32" s="48">
        <v>-8.73</v>
      </c>
      <c r="G32" s="48"/>
      <c r="H32" s="47" t="s">
        <v>50</v>
      </c>
      <c r="I32" s="47" t="s">
        <v>15</v>
      </c>
      <c r="J32" s="47" t="s">
        <v>47</v>
      </c>
      <c r="K32" s="42" t="s">
        <v>713</v>
      </c>
    </row>
    <row r="33" spans="1:11" x14ac:dyDescent="0.35">
      <c r="A33" s="1" t="s">
        <v>1233</v>
      </c>
      <c r="B33" s="47" t="s">
        <v>1234</v>
      </c>
      <c r="C33" s="47" t="s">
        <v>1225</v>
      </c>
      <c r="D33" s="47" t="s">
        <v>63</v>
      </c>
      <c r="E33" s="47" t="s">
        <v>44</v>
      </c>
      <c r="F33" s="48">
        <v>-14.59</v>
      </c>
      <c r="G33" s="48"/>
      <c r="H33" s="47" t="s">
        <v>50</v>
      </c>
      <c r="I33" s="47" t="s">
        <v>15</v>
      </c>
      <c r="J33" s="47" t="s">
        <v>47</v>
      </c>
      <c r="K33" s="42" t="s">
        <v>713</v>
      </c>
    </row>
    <row r="34" spans="1:11" x14ac:dyDescent="0.35">
      <c r="A34" s="1" t="s">
        <v>1232</v>
      </c>
      <c r="B34" s="47" t="s">
        <v>1229</v>
      </c>
      <c r="C34" s="47" t="s">
        <v>1229</v>
      </c>
      <c r="D34" s="47" t="s">
        <v>96</v>
      </c>
      <c r="E34" s="47" t="s">
        <v>44</v>
      </c>
      <c r="F34" s="48">
        <v>-5000</v>
      </c>
      <c r="G34" s="48" t="s">
        <v>97</v>
      </c>
      <c r="H34" s="47" t="s">
        <v>77</v>
      </c>
      <c r="I34" s="47" t="s">
        <v>765</v>
      </c>
      <c r="J34" s="47" t="s">
        <v>60</v>
      </c>
      <c r="K34" s="42" t="s">
        <v>713</v>
      </c>
    </row>
    <row r="35" spans="1:11" x14ac:dyDescent="0.35">
      <c r="A35" s="1" t="s">
        <v>1228</v>
      </c>
      <c r="B35" s="47" t="s">
        <v>1229</v>
      </c>
      <c r="C35" s="47" t="s">
        <v>1223</v>
      </c>
      <c r="D35" s="47" t="s">
        <v>1230</v>
      </c>
      <c r="E35" s="47" t="s">
        <v>44</v>
      </c>
      <c r="F35" s="48">
        <v>-14.4</v>
      </c>
      <c r="G35" s="48"/>
      <c r="H35" s="47" t="s">
        <v>45</v>
      </c>
      <c r="I35" s="47" t="s">
        <v>46</v>
      </c>
      <c r="J35" s="47" t="s">
        <v>47</v>
      </c>
      <c r="K35" s="42" t="s">
        <v>713</v>
      </c>
    </row>
    <row r="36" spans="1:11" x14ac:dyDescent="0.35">
      <c r="A36" s="1" t="s">
        <v>1231</v>
      </c>
      <c r="B36" s="47" t="s">
        <v>1229</v>
      </c>
      <c r="C36" s="47" t="s">
        <v>1223</v>
      </c>
      <c r="D36" s="47" t="s">
        <v>544</v>
      </c>
      <c r="E36" s="47" t="s">
        <v>44</v>
      </c>
      <c r="F36" s="48">
        <v>-6.2</v>
      </c>
      <c r="G36" s="48"/>
      <c r="H36" s="47" t="s">
        <v>90</v>
      </c>
      <c r="I36" s="47" t="s">
        <v>545</v>
      </c>
      <c r="J36" s="47" t="s">
        <v>47</v>
      </c>
      <c r="K36" s="42" t="s">
        <v>713</v>
      </c>
    </row>
    <row r="37" spans="1:11" x14ac:dyDescent="0.35">
      <c r="A37" s="1" t="s">
        <v>1226</v>
      </c>
      <c r="B37" s="47" t="s">
        <v>1225</v>
      </c>
      <c r="C37" s="47" t="s">
        <v>1205</v>
      </c>
      <c r="D37" s="47" t="s">
        <v>89</v>
      </c>
      <c r="E37" s="47" t="s">
        <v>44</v>
      </c>
      <c r="F37" s="48">
        <v>-102.64</v>
      </c>
      <c r="G37" s="48"/>
      <c r="H37" s="47" t="s">
        <v>90</v>
      </c>
      <c r="I37" s="47" t="s">
        <v>78</v>
      </c>
      <c r="J37" s="47" t="s">
        <v>91</v>
      </c>
      <c r="K37" s="42" t="s">
        <v>713</v>
      </c>
    </row>
    <row r="38" spans="1:11" x14ac:dyDescent="0.35">
      <c r="A38" s="1" t="s">
        <v>1227</v>
      </c>
      <c r="B38" s="47" t="s">
        <v>1225</v>
      </c>
      <c r="C38" s="47" t="s">
        <v>1225</v>
      </c>
      <c r="D38" s="47" t="s">
        <v>731</v>
      </c>
      <c r="E38" s="47" t="s">
        <v>44</v>
      </c>
      <c r="F38" s="48">
        <v>-23.4</v>
      </c>
      <c r="G38" s="48"/>
      <c r="H38" s="47" t="s">
        <v>77</v>
      </c>
      <c r="I38" s="47" t="s">
        <v>78</v>
      </c>
      <c r="J38" s="47" t="s">
        <v>79</v>
      </c>
      <c r="K38" s="42" t="s">
        <v>713</v>
      </c>
    </row>
    <row r="39" spans="1:11" x14ac:dyDescent="0.35">
      <c r="A39" s="1" t="s">
        <v>1224</v>
      </c>
      <c r="B39" s="47" t="s">
        <v>1225</v>
      </c>
      <c r="C39" s="47" t="s">
        <v>1218</v>
      </c>
      <c r="D39" s="47" t="s">
        <v>544</v>
      </c>
      <c r="E39" s="47" t="s">
        <v>44</v>
      </c>
      <c r="F39" s="48">
        <v>-6.2</v>
      </c>
      <c r="G39" s="48"/>
      <c r="H39" s="47" t="s">
        <v>90</v>
      </c>
      <c r="I39" s="47" t="s">
        <v>545</v>
      </c>
      <c r="J39" s="47" t="s">
        <v>47</v>
      </c>
      <c r="K39" s="42" t="s">
        <v>713</v>
      </c>
    </row>
    <row r="40" spans="1:11" x14ac:dyDescent="0.35">
      <c r="A40" s="1" t="s">
        <v>1222</v>
      </c>
      <c r="B40" s="47" t="s">
        <v>1223</v>
      </c>
      <c r="C40" s="47" t="s">
        <v>1213</v>
      </c>
      <c r="D40" s="47" t="s">
        <v>455</v>
      </c>
      <c r="E40" s="47" t="s">
        <v>44</v>
      </c>
      <c r="F40" s="48">
        <v>-56.18</v>
      </c>
      <c r="G40" s="48"/>
      <c r="H40" s="47" t="s">
        <v>50</v>
      </c>
      <c r="I40" s="47" t="s">
        <v>15</v>
      </c>
      <c r="J40" s="47" t="s">
        <v>47</v>
      </c>
      <c r="K40" s="42" t="s">
        <v>713</v>
      </c>
    </row>
    <row r="41" spans="1:11" x14ac:dyDescent="0.35">
      <c r="A41" s="1" t="s">
        <v>1217</v>
      </c>
      <c r="B41" s="47" t="s">
        <v>1218</v>
      </c>
      <c r="C41" s="47" t="s">
        <v>1205</v>
      </c>
      <c r="D41" s="47" t="s">
        <v>1219</v>
      </c>
      <c r="E41" s="47" t="s">
        <v>44</v>
      </c>
      <c r="F41" s="48">
        <v>-6.3</v>
      </c>
      <c r="G41" s="48"/>
      <c r="H41" s="47" t="s">
        <v>73</v>
      </c>
      <c r="I41" s="47" t="s">
        <v>74</v>
      </c>
      <c r="J41" s="47" t="s">
        <v>47</v>
      </c>
      <c r="K41" s="42" t="s">
        <v>713</v>
      </c>
    </row>
    <row r="42" spans="1:11" x14ac:dyDescent="0.35">
      <c r="A42" s="1" t="s">
        <v>1220</v>
      </c>
      <c r="B42" s="47" t="s">
        <v>1218</v>
      </c>
      <c r="C42" s="47" t="s">
        <v>1205</v>
      </c>
      <c r="D42" s="47" t="s">
        <v>1221</v>
      </c>
      <c r="E42" s="47" t="s">
        <v>44</v>
      </c>
      <c r="F42" s="48">
        <v>-4.5</v>
      </c>
      <c r="G42" s="48"/>
      <c r="H42" s="47" t="s">
        <v>73</v>
      </c>
      <c r="I42" s="47" t="s">
        <v>74</v>
      </c>
      <c r="J42" s="47" t="s">
        <v>47</v>
      </c>
      <c r="K42" s="42" t="s">
        <v>713</v>
      </c>
    </row>
    <row r="43" spans="1:11" x14ac:dyDescent="0.35">
      <c r="A43" s="1" t="s">
        <v>1212</v>
      </c>
      <c r="B43" s="47" t="s">
        <v>1213</v>
      </c>
      <c r="C43" s="47" t="s">
        <v>1213</v>
      </c>
      <c r="D43" s="47" t="s">
        <v>96</v>
      </c>
      <c r="E43" s="47" t="s">
        <v>44</v>
      </c>
      <c r="F43" s="48">
        <v>-3000</v>
      </c>
      <c r="G43" s="48" t="s">
        <v>97</v>
      </c>
      <c r="H43" s="47" t="s">
        <v>77</v>
      </c>
      <c r="I43" s="47" t="s">
        <v>765</v>
      </c>
      <c r="J43" s="47" t="s">
        <v>60</v>
      </c>
      <c r="K43" s="42" t="s">
        <v>713</v>
      </c>
    </row>
    <row r="44" spans="1:11" x14ac:dyDescent="0.35">
      <c r="A44" s="1" t="s">
        <v>1215</v>
      </c>
      <c r="B44" s="47" t="s">
        <v>1213</v>
      </c>
      <c r="C44" s="47" t="s">
        <v>1205</v>
      </c>
      <c r="D44" s="47" t="s">
        <v>250</v>
      </c>
      <c r="E44" s="47" t="s">
        <v>44</v>
      </c>
      <c r="F44" s="48">
        <v>-24.95</v>
      </c>
      <c r="G44" s="48"/>
      <c r="H44" s="47" t="s">
        <v>251</v>
      </c>
      <c r="I44" s="47" t="s">
        <v>252</v>
      </c>
      <c r="J44" s="47" t="s">
        <v>47</v>
      </c>
      <c r="K44" s="42" t="s">
        <v>713</v>
      </c>
    </row>
    <row r="45" spans="1:11" x14ac:dyDescent="0.35">
      <c r="A45" s="1" t="s">
        <v>1214</v>
      </c>
      <c r="B45" s="47" t="s">
        <v>1213</v>
      </c>
      <c r="C45" s="47" t="s">
        <v>1205</v>
      </c>
      <c r="D45" s="47" t="s">
        <v>226</v>
      </c>
      <c r="E45" s="47" t="s">
        <v>44</v>
      </c>
      <c r="F45" s="48">
        <v>-1</v>
      </c>
      <c r="G45" s="48"/>
      <c r="H45" s="47" t="s">
        <v>73</v>
      </c>
      <c r="I45" s="47" t="s">
        <v>112</v>
      </c>
      <c r="J45" s="47" t="s">
        <v>47</v>
      </c>
      <c r="K45" s="42" t="s">
        <v>713</v>
      </c>
    </row>
    <row r="46" spans="1:11" x14ac:dyDescent="0.35">
      <c r="A46" s="1" t="s">
        <v>1216</v>
      </c>
      <c r="B46" s="47" t="s">
        <v>1213</v>
      </c>
      <c r="C46" s="47" t="s">
        <v>1213</v>
      </c>
      <c r="D46" s="47" t="s">
        <v>211</v>
      </c>
      <c r="E46" s="47" t="s">
        <v>44</v>
      </c>
      <c r="F46" s="48">
        <v>7824.67</v>
      </c>
      <c r="G46" s="48"/>
      <c r="H46" s="47" t="s">
        <v>58</v>
      </c>
      <c r="I46" s="47" t="s">
        <v>59</v>
      </c>
      <c r="J46" s="47" t="s">
        <v>60</v>
      </c>
      <c r="K46" s="42" t="s">
        <v>713</v>
      </c>
    </row>
    <row r="47" spans="1:11" x14ac:dyDescent="0.35">
      <c r="A47" s="1" t="s">
        <v>1209</v>
      </c>
      <c r="B47" s="47" t="s">
        <v>1210</v>
      </c>
      <c r="C47" s="47" t="s">
        <v>1205</v>
      </c>
      <c r="D47" s="47" t="s">
        <v>1211</v>
      </c>
      <c r="E47" s="47" t="s">
        <v>44</v>
      </c>
      <c r="F47" s="48">
        <v>-13.41</v>
      </c>
      <c r="G47" s="48"/>
      <c r="H47" s="47" t="s">
        <v>50</v>
      </c>
      <c r="I47" s="47" t="s">
        <v>15</v>
      </c>
      <c r="J47" s="47" t="s">
        <v>47</v>
      </c>
      <c r="K47" s="42" t="s">
        <v>713</v>
      </c>
    </row>
    <row r="48" spans="1:11" x14ac:dyDescent="0.35">
      <c r="A48" s="1" t="s">
        <v>1207</v>
      </c>
      <c r="B48" s="47" t="s">
        <v>1205</v>
      </c>
      <c r="C48" s="47" t="s">
        <v>1208</v>
      </c>
      <c r="D48" s="47" t="s">
        <v>567</v>
      </c>
      <c r="E48" s="47" t="s">
        <v>44</v>
      </c>
      <c r="F48" s="48">
        <v>-62.6</v>
      </c>
      <c r="G48" s="48"/>
      <c r="H48" s="47" t="s">
        <v>50</v>
      </c>
      <c r="I48" s="47" t="s">
        <v>78</v>
      </c>
      <c r="J48" s="47" t="s">
        <v>47</v>
      </c>
      <c r="K48" s="42" t="s">
        <v>713</v>
      </c>
    </row>
    <row r="49" spans="1:11" x14ac:dyDescent="0.35">
      <c r="A49" s="1" t="s">
        <v>1204</v>
      </c>
      <c r="B49" s="47" t="s">
        <v>1205</v>
      </c>
      <c r="C49" s="47" t="s">
        <v>1197</v>
      </c>
      <c r="D49" s="47" t="s">
        <v>1206</v>
      </c>
      <c r="E49" s="47" t="s">
        <v>44</v>
      </c>
      <c r="F49" s="48">
        <v>-7.5</v>
      </c>
      <c r="G49" s="48"/>
      <c r="H49" s="47" t="s">
        <v>77</v>
      </c>
      <c r="I49" s="47" t="s">
        <v>78</v>
      </c>
      <c r="J49" s="47" t="s">
        <v>91</v>
      </c>
      <c r="K49" s="42" t="s">
        <v>713</v>
      </c>
    </row>
    <row r="50" spans="1:11" x14ac:dyDescent="0.35">
      <c r="A50" s="1" t="s">
        <v>1202</v>
      </c>
      <c r="B50" s="47" t="s">
        <v>1196</v>
      </c>
      <c r="C50" s="47" t="s">
        <v>1196</v>
      </c>
      <c r="D50" s="47" t="s">
        <v>1203</v>
      </c>
      <c r="E50" s="47" t="s">
        <v>44</v>
      </c>
      <c r="F50" s="48">
        <v>-881.2</v>
      </c>
      <c r="G50" s="48"/>
      <c r="H50" s="17" t="s">
        <v>1698</v>
      </c>
      <c r="I50" s="17" t="s">
        <v>205</v>
      </c>
      <c r="J50" s="47" t="s">
        <v>79</v>
      </c>
      <c r="K50" s="42" t="s">
        <v>713</v>
      </c>
    </row>
    <row r="51" spans="1:11" x14ac:dyDescent="0.35">
      <c r="A51" s="1" t="s">
        <v>1195</v>
      </c>
      <c r="B51" s="47" t="s">
        <v>1196</v>
      </c>
      <c r="C51" s="47" t="s">
        <v>1197</v>
      </c>
      <c r="D51" s="47" t="s">
        <v>287</v>
      </c>
      <c r="E51" s="47" t="s">
        <v>44</v>
      </c>
      <c r="F51" s="48">
        <v>-42.5</v>
      </c>
      <c r="G51" s="48"/>
      <c r="H51" s="47" t="s">
        <v>251</v>
      </c>
      <c r="I51" s="47" t="s">
        <v>288</v>
      </c>
      <c r="J51" s="47" t="s">
        <v>47</v>
      </c>
      <c r="K51" s="42" t="s">
        <v>713</v>
      </c>
    </row>
    <row r="52" spans="1:11" x14ac:dyDescent="0.35">
      <c r="A52" s="1" t="s">
        <v>1198</v>
      </c>
      <c r="B52" s="47" t="s">
        <v>1196</v>
      </c>
      <c r="C52" s="47" t="s">
        <v>1197</v>
      </c>
      <c r="D52" s="47" t="s">
        <v>108</v>
      </c>
      <c r="E52" s="47" t="s">
        <v>44</v>
      </c>
      <c r="F52" s="48">
        <v>-14.8</v>
      </c>
      <c r="G52" s="48"/>
      <c r="H52" s="47" t="s">
        <v>50</v>
      </c>
      <c r="I52" s="47" t="s">
        <v>15</v>
      </c>
      <c r="J52" s="47" t="s">
        <v>47</v>
      </c>
      <c r="K52" s="42" t="s">
        <v>713</v>
      </c>
    </row>
    <row r="53" spans="1:11" x14ac:dyDescent="0.35">
      <c r="A53" s="1" t="s">
        <v>1199</v>
      </c>
      <c r="B53" s="47" t="s">
        <v>1196</v>
      </c>
      <c r="C53" s="47" t="s">
        <v>1196</v>
      </c>
      <c r="D53" s="47" t="s">
        <v>1200</v>
      </c>
      <c r="E53" s="47" t="s">
        <v>44</v>
      </c>
      <c r="F53" s="48">
        <v>444.9</v>
      </c>
      <c r="G53" s="48"/>
      <c r="H53" s="47" t="s">
        <v>101</v>
      </c>
      <c r="I53" s="47" t="s">
        <v>59</v>
      </c>
      <c r="J53" s="47" t="s">
        <v>60</v>
      </c>
      <c r="K53" s="42" t="s">
        <v>713</v>
      </c>
    </row>
    <row r="54" spans="1:11" x14ac:dyDescent="0.35">
      <c r="A54" s="1" t="s">
        <v>1201</v>
      </c>
      <c r="B54" s="47" t="s">
        <v>1196</v>
      </c>
      <c r="C54" s="47" t="s">
        <v>1196</v>
      </c>
      <c r="D54" s="47" t="s">
        <v>57</v>
      </c>
      <c r="E54" s="47" t="s">
        <v>44</v>
      </c>
      <c r="F54" s="48">
        <v>1154.82</v>
      </c>
      <c r="G54" s="48"/>
      <c r="H54" s="47" t="s">
        <v>58</v>
      </c>
      <c r="I54" s="47" t="s">
        <v>59</v>
      </c>
      <c r="J54" s="47" t="s">
        <v>60</v>
      </c>
      <c r="K54" s="42" t="s">
        <v>713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3C1C-2A72-42BA-9561-72EBA9E77EC9}">
  <dimension ref="A1:B39"/>
  <sheetViews>
    <sheetView workbookViewId="0">
      <selection activeCell="A4" sqref="A4:A17"/>
    </sheetView>
  </sheetViews>
  <sheetFormatPr defaultRowHeight="12.75" x14ac:dyDescent="0.35"/>
  <cols>
    <col min="1" max="1" width="22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59">
        <v>550</v>
      </c>
    </row>
    <row r="5" spans="1:2" x14ac:dyDescent="0.35">
      <c r="A5" s="28" t="s">
        <v>59</v>
      </c>
      <c r="B5" s="59">
        <v>550</v>
      </c>
    </row>
    <row r="6" spans="1:2" x14ac:dyDescent="0.35">
      <c r="A6" s="14" t="s">
        <v>98</v>
      </c>
      <c r="B6" s="59">
        <v>-28.64</v>
      </c>
    </row>
    <row r="7" spans="1:2" x14ac:dyDescent="0.35">
      <c r="A7" s="28" t="s">
        <v>78</v>
      </c>
      <c r="B7" s="59">
        <v>-28.64</v>
      </c>
    </row>
    <row r="8" spans="1:2" x14ac:dyDescent="0.35">
      <c r="A8" s="14" t="s">
        <v>45</v>
      </c>
      <c r="B8" s="59">
        <v>-98.149999999999991</v>
      </c>
    </row>
    <row r="9" spans="1:2" x14ac:dyDescent="0.35">
      <c r="A9" s="28" t="s">
        <v>361</v>
      </c>
      <c r="B9" s="59">
        <v>-39.4</v>
      </c>
    </row>
    <row r="10" spans="1:2" x14ac:dyDescent="0.35">
      <c r="A10" s="28" t="s">
        <v>46</v>
      </c>
      <c r="B10" s="59">
        <v>-58.749999999999993</v>
      </c>
    </row>
    <row r="11" spans="1:2" x14ac:dyDescent="0.35">
      <c r="A11" s="14" t="s">
        <v>50</v>
      </c>
      <c r="B11" s="59">
        <v>-550.88</v>
      </c>
    </row>
    <row r="12" spans="1:2" x14ac:dyDescent="0.35">
      <c r="A12" s="28" t="s">
        <v>15</v>
      </c>
      <c r="B12" s="59">
        <v>-161.54000000000002</v>
      </c>
    </row>
    <row r="13" spans="1:2" x14ac:dyDescent="0.35">
      <c r="A13" s="28" t="s">
        <v>19</v>
      </c>
      <c r="B13" s="59">
        <v>-260.75</v>
      </c>
    </row>
    <row r="14" spans="1:2" x14ac:dyDescent="0.35">
      <c r="A14" s="28" t="s">
        <v>78</v>
      </c>
      <c r="B14" s="59">
        <v>-128.59</v>
      </c>
    </row>
    <row r="15" spans="1:2" x14ac:dyDescent="0.35">
      <c r="A15" s="14" t="s">
        <v>101</v>
      </c>
      <c r="B15" s="59">
        <v>444.9</v>
      </c>
    </row>
    <row r="16" spans="1:2" x14ac:dyDescent="0.35">
      <c r="A16" s="28" t="s">
        <v>59</v>
      </c>
      <c r="B16" s="59">
        <v>444.9</v>
      </c>
    </row>
    <row r="17" spans="1:2" x14ac:dyDescent="0.35">
      <c r="A17" s="14" t="s">
        <v>58</v>
      </c>
      <c r="B17" s="59">
        <v>8979.49</v>
      </c>
    </row>
    <row r="18" spans="1:2" x14ac:dyDescent="0.35">
      <c r="A18" s="28" t="s">
        <v>59</v>
      </c>
      <c r="B18" s="59">
        <v>8979.49</v>
      </c>
    </row>
    <row r="19" spans="1:2" x14ac:dyDescent="0.35">
      <c r="A19" s="14" t="s">
        <v>648</v>
      </c>
      <c r="B19" s="59">
        <v>30</v>
      </c>
    </row>
    <row r="20" spans="1:2" x14ac:dyDescent="0.35">
      <c r="A20" s="28" t="s">
        <v>59</v>
      </c>
      <c r="B20" s="59">
        <v>30</v>
      </c>
    </row>
    <row r="21" spans="1:2" x14ac:dyDescent="0.35">
      <c r="A21" s="14" t="s">
        <v>251</v>
      </c>
      <c r="B21" s="59">
        <v>-148.35</v>
      </c>
    </row>
    <row r="22" spans="1:2" x14ac:dyDescent="0.35">
      <c r="A22" s="28" t="s">
        <v>252</v>
      </c>
      <c r="B22" s="59">
        <v>-24.95</v>
      </c>
    </row>
    <row r="23" spans="1:2" x14ac:dyDescent="0.35">
      <c r="A23" s="28" t="s">
        <v>288</v>
      </c>
      <c r="B23" s="59">
        <v>-77.5</v>
      </c>
    </row>
    <row r="24" spans="1:2" x14ac:dyDescent="0.35">
      <c r="A24" s="28" t="s">
        <v>297</v>
      </c>
      <c r="B24" s="59">
        <v>-45.9</v>
      </c>
    </row>
    <row r="25" spans="1:2" x14ac:dyDescent="0.35">
      <c r="A25" s="14" t="s">
        <v>90</v>
      </c>
      <c r="B25" s="59">
        <v>-165.38000000000002</v>
      </c>
    </row>
    <row r="26" spans="1:2" x14ac:dyDescent="0.35">
      <c r="A26" s="28" t="s">
        <v>545</v>
      </c>
      <c r="B26" s="59">
        <v>-12.4</v>
      </c>
    </row>
    <row r="27" spans="1:2" x14ac:dyDescent="0.35">
      <c r="A27" s="28" t="s">
        <v>78</v>
      </c>
      <c r="B27" s="59">
        <v>-152.98000000000002</v>
      </c>
    </row>
    <row r="28" spans="1:2" x14ac:dyDescent="0.35">
      <c r="A28" s="14" t="s">
        <v>464</v>
      </c>
      <c r="B28" s="59">
        <v>-1.44</v>
      </c>
    </row>
    <row r="29" spans="1:2" x14ac:dyDescent="0.35">
      <c r="A29" s="28" t="s">
        <v>1283</v>
      </c>
      <c r="B29" s="59">
        <v>-1.44</v>
      </c>
    </row>
    <row r="30" spans="1:2" x14ac:dyDescent="0.35">
      <c r="A30" s="14" t="s">
        <v>77</v>
      </c>
      <c r="B30" s="59">
        <v>-3124.42</v>
      </c>
    </row>
    <row r="31" spans="1:2" x14ac:dyDescent="0.35">
      <c r="A31" s="28" t="s">
        <v>200</v>
      </c>
      <c r="B31" s="59">
        <v>-3065.52</v>
      </c>
    </row>
    <row r="32" spans="1:2" x14ac:dyDescent="0.35">
      <c r="A32" s="28" t="s">
        <v>78</v>
      </c>
      <c r="B32" s="59">
        <v>-58.9</v>
      </c>
    </row>
    <row r="33" spans="1:2" x14ac:dyDescent="0.35">
      <c r="A33" s="14" t="s">
        <v>73</v>
      </c>
      <c r="B33" s="59">
        <v>-47.11</v>
      </c>
    </row>
    <row r="34" spans="1:2" x14ac:dyDescent="0.35">
      <c r="A34" s="28" t="s">
        <v>897</v>
      </c>
      <c r="B34" s="59">
        <v>-28.81</v>
      </c>
    </row>
    <row r="35" spans="1:2" x14ac:dyDescent="0.35">
      <c r="A35" s="28" t="s">
        <v>112</v>
      </c>
      <c r="B35" s="59">
        <v>-7.5</v>
      </c>
    </row>
    <row r="36" spans="1:2" x14ac:dyDescent="0.35">
      <c r="A36" s="28" t="s">
        <v>74</v>
      </c>
      <c r="B36" s="59">
        <v>-10.8</v>
      </c>
    </row>
    <row r="37" spans="1:2" x14ac:dyDescent="0.35">
      <c r="A37" s="14" t="s">
        <v>1698</v>
      </c>
      <c r="B37" s="59">
        <v>-881.2</v>
      </c>
    </row>
    <row r="38" spans="1:2" x14ac:dyDescent="0.35">
      <c r="A38" s="28" t="s">
        <v>205</v>
      </c>
      <c r="B38" s="59">
        <v>-881.2</v>
      </c>
    </row>
    <row r="39" spans="1:2" x14ac:dyDescent="0.35">
      <c r="A39" s="14" t="s">
        <v>208</v>
      </c>
      <c r="B39" s="59">
        <v>4958.8199999999988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0623-896C-4B90-8573-B214076D173D}">
  <dimension ref="A1:K52"/>
  <sheetViews>
    <sheetView workbookViewId="0">
      <selection activeCell="B51" sqref="B51:I51"/>
    </sheetView>
  </sheetViews>
  <sheetFormatPr defaultRowHeight="12.75" x14ac:dyDescent="0.35"/>
  <cols>
    <col min="1" max="1" width="20.59765625" customWidth="1"/>
    <col min="2" max="2" width="16.86328125" customWidth="1"/>
    <col min="3" max="3" width="12.265625" customWidth="1"/>
    <col min="4" max="4" width="13" customWidth="1"/>
    <col min="6" max="7" width="9.59765625" customWidth="1"/>
    <col min="8" max="8" width="20" customWidth="1"/>
    <col min="9" max="9" width="16.86328125" customWidth="1"/>
    <col min="10" max="10" width="24.1328125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410</v>
      </c>
      <c r="H1" s="4" t="s">
        <v>38</v>
      </c>
      <c r="I1" s="4" t="s">
        <v>39</v>
      </c>
      <c r="J1" s="4" t="s">
        <v>40</v>
      </c>
      <c r="K1" s="5" t="s">
        <v>708</v>
      </c>
    </row>
    <row r="2" spans="1:11" x14ac:dyDescent="0.35">
      <c r="A2" s="1" t="s">
        <v>1380</v>
      </c>
      <c r="B2" s="47" t="s">
        <v>1208</v>
      </c>
      <c r="C2" s="47" t="s">
        <v>1372</v>
      </c>
      <c r="D2" s="47" t="s">
        <v>1381</v>
      </c>
      <c r="E2" s="47" t="s">
        <v>44</v>
      </c>
      <c r="F2" s="48">
        <v>-90</v>
      </c>
      <c r="G2" s="48"/>
      <c r="H2" s="47" t="s">
        <v>464</v>
      </c>
      <c r="I2" s="47" t="s">
        <v>1382</v>
      </c>
      <c r="J2" s="47" t="s">
        <v>91</v>
      </c>
      <c r="K2" s="42" t="s">
        <v>713</v>
      </c>
    </row>
    <row r="3" spans="1:11" x14ac:dyDescent="0.35">
      <c r="A3" s="1" t="s">
        <v>1379</v>
      </c>
      <c r="B3" s="47" t="s">
        <v>1197</v>
      </c>
      <c r="C3" s="47" t="s">
        <v>1362</v>
      </c>
      <c r="D3" s="47" t="s">
        <v>748</v>
      </c>
      <c r="E3" s="47" t="s">
        <v>44</v>
      </c>
      <c r="F3" s="48">
        <v>-30</v>
      </c>
      <c r="G3" s="48"/>
      <c r="H3" s="7" t="s">
        <v>73</v>
      </c>
      <c r="I3" s="7" t="s">
        <v>309</v>
      </c>
      <c r="J3" s="47" t="s">
        <v>47</v>
      </c>
      <c r="K3" s="42" t="s">
        <v>713</v>
      </c>
    </row>
    <row r="4" spans="1:11" x14ac:dyDescent="0.35">
      <c r="A4" s="1" t="s">
        <v>1378</v>
      </c>
      <c r="B4" s="47" t="s">
        <v>1197</v>
      </c>
      <c r="C4" s="47" t="s">
        <v>1196</v>
      </c>
      <c r="D4" s="47" t="s">
        <v>393</v>
      </c>
      <c r="E4" s="47" t="s">
        <v>44</v>
      </c>
      <c r="F4" s="48">
        <v>-8.6199999999999992</v>
      </c>
      <c r="G4" s="48"/>
      <c r="H4" s="47" t="s">
        <v>136</v>
      </c>
      <c r="I4" s="47" t="s">
        <v>394</v>
      </c>
      <c r="J4" s="47" t="s">
        <v>395</v>
      </c>
      <c r="K4" s="42" t="s">
        <v>713</v>
      </c>
    </row>
    <row r="5" spans="1:11" x14ac:dyDescent="0.35">
      <c r="A5" s="1" t="s">
        <v>1371</v>
      </c>
      <c r="B5" s="47" t="s">
        <v>1372</v>
      </c>
      <c r="C5" s="47" t="s">
        <v>1362</v>
      </c>
      <c r="D5" s="47" t="s">
        <v>1373</v>
      </c>
      <c r="E5" s="47" t="s">
        <v>44</v>
      </c>
      <c r="F5" s="48">
        <v>-172.95</v>
      </c>
      <c r="G5" s="48"/>
      <c r="H5" s="47" t="s">
        <v>136</v>
      </c>
      <c r="I5" s="47" t="s">
        <v>137</v>
      </c>
      <c r="J5" s="47" t="s">
        <v>91</v>
      </c>
      <c r="K5" s="42" t="s">
        <v>713</v>
      </c>
    </row>
    <row r="6" spans="1:11" x14ac:dyDescent="0.35">
      <c r="A6" s="1" t="s">
        <v>1376</v>
      </c>
      <c r="B6" s="47" t="s">
        <v>1372</v>
      </c>
      <c r="C6" s="47" t="s">
        <v>1362</v>
      </c>
      <c r="D6" s="47" t="s">
        <v>1377</v>
      </c>
      <c r="E6" s="47" t="s">
        <v>44</v>
      </c>
      <c r="F6" s="48">
        <v>-6.75</v>
      </c>
      <c r="G6" s="48"/>
      <c r="H6" s="47" t="s">
        <v>50</v>
      </c>
      <c r="I6" s="47" t="s">
        <v>15</v>
      </c>
      <c r="J6" s="47" t="s">
        <v>47</v>
      </c>
      <c r="K6" s="42" t="s">
        <v>713</v>
      </c>
    </row>
    <row r="7" spans="1:11" x14ac:dyDescent="0.35">
      <c r="A7" s="1" t="s">
        <v>1374</v>
      </c>
      <c r="B7" s="47" t="s">
        <v>1372</v>
      </c>
      <c r="C7" s="47" t="s">
        <v>1372</v>
      </c>
      <c r="D7" s="47" t="s">
        <v>1375</v>
      </c>
      <c r="E7" s="47" t="s">
        <v>44</v>
      </c>
      <c r="F7" s="48">
        <v>30</v>
      </c>
      <c r="G7" s="48"/>
      <c r="H7" s="47" t="s">
        <v>101</v>
      </c>
      <c r="I7" s="47" t="s">
        <v>59</v>
      </c>
      <c r="J7" s="47" t="s">
        <v>60</v>
      </c>
      <c r="K7" s="42" t="s">
        <v>713</v>
      </c>
    </row>
    <row r="8" spans="1:11" x14ac:dyDescent="0.35">
      <c r="A8" s="1" t="s">
        <v>1367</v>
      </c>
      <c r="B8" s="47" t="s">
        <v>1368</v>
      </c>
      <c r="C8" s="47" t="s">
        <v>1362</v>
      </c>
      <c r="D8" s="47" t="s">
        <v>757</v>
      </c>
      <c r="E8" s="47" t="s">
        <v>44</v>
      </c>
      <c r="F8" s="48">
        <v>-19</v>
      </c>
      <c r="G8" s="48"/>
      <c r="H8" s="47" t="s">
        <v>45</v>
      </c>
      <c r="I8" s="47" t="s">
        <v>46</v>
      </c>
      <c r="J8" s="47" t="s">
        <v>47</v>
      </c>
      <c r="K8" s="42" t="s">
        <v>713</v>
      </c>
    </row>
    <row r="9" spans="1:11" x14ac:dyDescent="0.35">
      <c r="A9" s="1" t="s">
        <v>1369</v>
      </c>
      <c r="B9" s="47" t="s">
        <v>1368</v>
      </c>
      <c r="C9" s="47" t="s">
        <v>1362</v>
      </c>
      <c r="D9" s="47" t="s">
        <v>1370</v>
      </c>
      <c r="E9" s="47" t="s">
        <v>44</v>
      </c>
      <c r="F9" s="48">
        <v>-6</v>
      </c>
      <c r="G9" s="48"/>
      <c r="H9" s="47" t="s">
        <v>45</v>
      </c>
      <c r="I9" s="47" t="s">
        <v>361</v>
      </c>
      <c r="J9" s="47" t="s">
        <v>47</v>
      </c>
      <c r="K9" s="42" t="s">
        <v>713</v>
      </c>
    </row>
    <row r="10" spans="1:11" x14ac:dyDescent="0.35">
      <c r="A10" s="1" t="s">
        <v>1364</v>
      </c>
      <c r="B10" s="47" t="s">
        <v>1362</v>
      </c>
      <c r="C10" s="47" t="s">
        <v>1356</v>
      </c>
      <c r="D10" s="47" t="s">
        <v>197</v>
      </c>
      <c r="E10" s="47" t="s">
        <v>44</v>
      </c>
      <c r="F10" s="48">
        <v>-169.5</v>
      </c>
      <c r="G10" s="48"/>
      <c r="H10" s="47" t="s">
        <v>50</v>
      </c>
      <c r="I10" s="47" t="s">
        <v>19</v>
      </c>
      <c r="J10" s="47" t="s">
        <v>47</v>
      </c>
      <c r="K10" s="42" t="s">
        <v>713</v>
      </c>
    </row>
    <row r="11" spans="1:11" x14ac:dyDescent="0.35">
      <c r="A11" s="1" t="s">
        <v>1361</v>
      </c>
      <c r="B11" s="47" t="s">
        <v>1362</v>
      </c>
      <c r="C11" s="47" t="s">
        <v>1356</v>
      </c>
      <c r="D11" s="47" t="s">
        <v>254</v>
      </c>
      <c r="E11" s="47" t="s">
        <v>44</v>
      </c>
      <c r="F11" s="48">
        <v>-52.01</v>
      </c>
      <c r="G11" s="48"/>
      <c r="H11" s="47" t="s">
        <v>50</v>
      </c>
      <c r="I11" s="47" t="s">
        <v>15</v>
      </c>
      <c r="J11" s="47" t="s">
        <v>47</v>
      </c>
      <c r="K11" s="42" t="s">
        <v>713</v>
      </c>
    </row>
    <row r="12" spans="1:11" x14ac:dyDescent="0.35">
      <c r="A12" s="1" t="s">
        <v>1363</v>
      </c>
      <c r="B12" s="47" t="s">
        <v>1362</v>
      </c>
      <c r="C12" s="47" t="s">
        <v>1196</v>
      </c>
      <c r="D12" s="47" t="s">
        <v>401</v>
      </c>
      <c r="E12" s="47" t="s">
        <v>44</v>
      </c>
      <c r="F12" s="48">
        <v>-4.5</v>
      </c>
      <c r="G12" s="48"/>
      <c r="H12" s="47" t="s">
        <v>136</v>
      </c>
      <c r="I12" s="47" t="s">
        <v>402</v>
      </c>
      <c r="J12" s="47" t="s">
        <v>403</v>
      </c>
      <c r="K12" s="42" t="s">
        <v>713</v>
      </c>
    </row>
    <row r="13" spans="1:11" x14ac:dyDescent="0.35">
      <c r="A13" s="1" t="s">
        <v>1365</v>
      </c>
      <c r="B13" s="47" t="s">
        <v>1362</v>
      </c>
      <c r="C13" s="47" t="s">
        <v>1356</v>
      </c>
      <c r="D13" s="47" t="s">
        <v>226</v>
      </c>
      <c r="E13" s="47" t="s">
        <v>44</v>
      </c>
      <c r="F13" s="48">
        <v>-3.8</v>
      </c>
      <c r="G13" s="48"/>
      <c r="H13" s="47" t="s">
        <v>73</v>
      </c>
      <c r="I13" s="47" t="s">
        <v>112</v>
      </c>
      <c r="J13" s="47" t="s">
        <v>47</v>
      </c>
      <c r="K13" s="42" t="s">
        <v>713</v>
      </c>
    </row>
    <row r="14" spans="1:11" x14ac:dyDescent="0.35">
      <c r="A14" s="1" t="s">
        <v>1366</v>
      </c>
      <c r="B14" s="47" t="s">
        <v>1362</v>
      </c>
      <c r="C14" s="47" t="s">
        <v>1362</v>
      </c>
      <c r="D14" s="47" t="s">
        <v>199</v>
      </c>
      <c r="E14" s="47" t="s">
        <v>44</v>
      </c>
      <c r="F14" s="48">
        <v>-2</v>
      </c>
      <c r="G14" s="48"/>
      <c r="H14" s="47" t="s">
        <v>77</v>
      </c>
      <c r="I14" s="47" t="s">
        <v>200</v>
      </c>
      <c r="J14" s="47" t="s">
        <v>79</v>
      </c>
      <c r="K14" s="42" t="s">
        <v>713</v>
      </c>
    </row>
    <row r="15" spans="1:11" x14ac:dyDescent="0.35">
      <c r="A15" s="1" t="s">
        <v>1358</v>
      </c>
      <c r="B15" s="47" t="s">
        <v>1356</v>
      </c>
      <c r="C15" s="47" t="s">
        <v>1352</v>
      </c>
      <c r="D15" s="47" t="s">
        <v>89</v>
      </c>
      <c r="E15" s="47" t="s">
        <v>44</v>
      </c>
      <c r="F15" s="48">
        <v>-331.23</v>
      </c>
      <c r="G15" s="48"/>
      <c r="H15" s="47" t="s">
        <v>90</v>
      </c>
      <c r="I15" s="47" t="s">
        <v>78</v>
      </c>
      <c r="J15" s="47" t="s">
        <v>91</v>
      </c>
      <c r="K15" s="42" t="s">
        <v>713</v>
      </c>
    </row>
    <row r="16" spans="1:11" x14ac:dyDescent="0.35">
      <c r="A16" s="1" t="s">
        <v>1355</v>
      </c>
      <c r="B16" s="47" t="s">
        <v>1356</v>
      </c>
      <c r="C16" s="47" t="s">
        <v>1357</v>
      </c>
      <c r="D16" s="47" t="s">
        <v>105</v>
      </c>
      <c r="E16" s="47" t="s">
        <v>44</v>
      </c>
      <c r="F16" s="48">
        <v>-17.899999999999999</v>
      </c>
      <c r="G16" s="48"/>
      <c r="H16" s="47" t="s">
        <v>90</v>
      </c>
      <c r="I16" s="47" t="s">
        <v>106</v>
      </c>
      <c r="J16" s="47" t="s">
        <v>47</v>
      </c>
      <c r="K16" s="42" t="s">
        <v>713</v>
      </c>
    </row>
    <row r="17" spans="1:11" x14ac:dyDescent="0.35">
      <c r="A17" s="1" t="s">
        <v>1359</v>
      </c>
      <c r="B17" s="47" t="s">
        <v>1356</v>
      </c>
      <c r="C17" s="47" t="s">
        <v>1356</v>
      </c>
      <c r="D17" s="47" t="s">
        <v>1360</v>
      </c>
      <c r="E17" s="47" t="s">
        <v>44</v>
      </c>
      <c r="F17" s="48">
        <v>550</v>
      </c>
      <c r="G17" s="48"/>
      <c r="H17" s="47" t="s">
        <v>176</v>
      </c>
      <c r="I17" s="47" t="s">
        <v>59</v>
      </c>
      <c r="J17" s="47" t="s">
        <v>60</v>
      </c>
      <c r="K17" s="42" t="s">
        <v>713</v>
      </c>
    </row>
    <row r="18" spans="1:11" x14ac:dyDescent="0.35">
      <c r="A18" s="1" t="s">
        <v>1353</v>
      </c>
      <c r="B18" s="47" t="s">
        <v>1354</v>
      </c>
      <c r="C18" s="47" t="s">
        <v>1352</v>
      </c>
      <c r="D18" s="47" t="s">
        <v>476</v>
      </c>
      <c r="E18" s="47" t="s">
        <v>44</v>
      </c>
      <c r="F18" s="48">
        <v>-18.98</v>
      </c>
      <c r="G18" s="48"/>
      <c r="H18" s="47" t="s">
        <v>50</v>
      </c>
      <c r="I18" s="47" t="s">
        <v>165</v>
      </c>
      <c r="J18" s="47" t="s">
        <v>91</v>
      </c>
      <c r="K18" s="42" t="s">
        <v>713</v>
      </c>
    </row>
    <row r="19" spans="1:11" x14ac:dyDescent="0.35">
      <c r="A19" s="1" t="s">
        <v>1351</v>
      </c>
      <c r="B19" s="47" t="s">
        <v>1352</v>
      </c>
      <c r="C19" s="47" t="s">
        <v>1340</v>
      </c>
      <c r="D19" s="47" t="s">
        <v>121</v>
      </c>
      <c r="E19" s="47" t="s">
        <v>44</v>
      </c>
      <c r="F19" s="48">
        <v>-22.58</v>
      </c>
      <c r="G19" s="48"/>
      <c r="H19" s="47" t="s">
        <v>50</v>
      </c>
      <c r="I19" s="47" t="s">
        <v>15</v>
      </c>
      <c r="J19" s="47" t="s">
        <v>47</v>
      </c>
      <c r="K19" s="42" t="s">
        <v>713</v>
      </c>
    </row>
    <row r="20" spans="1:11" x14ac:dyDescent="0.35">
      <c r="A20" s="1" t="s">
        <v>1344</v>
      </c>
      <c r="B20" s="47" t="s">
        <v>1345</v>
      </c>
      <c r="C20" s="47" t="s">
        <v>1332</v>
      </c>
      <c r="D20" s="47" t="s">
        <v>1346</v>
      </c>
      <c r="E20" s="47" t="s">
        <v>44</v>
      </c>
      <c r="F20" s="48">
        <v>-90.8</v>
      </c>
      <c r="G20" s="48"/>
      <c r="H20" s="47" t="s">
        <v>73</v>
      </c>
      <c r="I20" s="47" t="s">
        <v>280</v>
      </c>
      <c r="J20" s="47" t="s">
        <v>91</v>
      </c>
      <c r="K20" s="42" t="s">
        <v>713</v>
      </c>
    </row>
    <row r="21" spans="1:11" x14ac:dyDescent="0.35">
      <c r="A21" s="1" t="s">
        <v>1349</v>
      </c>
      <c r="B21" s="47" t="s">
        <v>1345</v>
      </c>
      <c r="C21" s="47" t="s">
        <v>1332</v>
      </c>
      <c r="D21" s="47" t="s">
        <v>1350</v>
      </c>
      <c r="E21" s="47" t="s">
        <v>44</v>
      </c>
      <c r="F21" s="48">
        <v>-80</v>
      </c>
      <c r="G21" s="48"/>
      <c r="H21" s="47" t="s">
        <v>90</v>
      </c>
      <c r="I21" s="47" t="s">
        <v>106</v>
      </c>
      <c r="J21" s="47" t="s">
        <v>47</v>
      </c>
      <c r="K21" s="42" t="s">
        <v>713</v>
      </c>
    </row>
    <row r="22" spans="1:11" x14ac:dyDescent="0.35">
      <c r="A22" s="1" t="s">
        <v>1348</v>
      </c>
      <c r="B22" s="47" t="s">
        <v>1345</v>
      </c>
      <c r="C22" s="47" t="s">
        <v>1332</v>
      </c>
      <c r="D22" s="47" t="s">
        <v>1346</v>
      </c>
      <c r="E22" s="47" t="s">
        <v>44</v>
      </c>
      <c r="F22" s="48">
        <v>-74.7</v>
      </c>
      <c r="G22" s="48"/>
      <c r="H22" s="47" t="s">
        <v>73</v>
      </c>
      <c r="I22" s="47" t="s">
        <v>280</v>
      </c>
      <c r="J22" s="47" t="s">
        <v>91</v>
      </c>
      <c r="K22" s="42" t="s">
        <v>713</v>
      </c>
    </row>
    <row r="23" spans="1:11" x14ac:dyDescent="0.35">
      <c r="A23" s="1" t="s">
        <v>1347</v>
      </c>
      <c r="B23" s="47" t="s">
        <v>1345</v>
      </c>
      <c r="C23" s="47" t="s">
        <v>1337</v>
      </c>
      <c r="D23" s="47" t="s">
        <v>431</v>
      </c>
      <c r="E23" s="47" t="s">
        <v>44</v>
      </c>
      <c r="F23" s="48">
        <v>-11.49</v>
      </c>
      <c r="G23" s="48"/>
      <c r="H23" s="47" t="s">
        <v>251</v>
      </c>
      <c r="I23" s="47" t="s">
        <v>288</v>
      </c>
      <c r="J23" s="47" t="s">
        <v>47</v>
      </c>
      <c r="K23" s="42" t="s">
        <v>713</v>
      </c>
    </row>
    <row r="24" spans="1:11" x14ac:dyDescent="0.35">
      <c r="A24" s="1" t="s">
        <v>1341</v>
      </c>
      <c r="B24" s="47" t="s">
        <v>1340</v>
      </c>
      <c r="C24" s="47" t="s">
        <v>1340</v>
      </c>
      <c r="D24" s="47" t="s">
        <v>96</v>
      </c>
      <c r="E24" s="47" t="s">
        <v>44</v>
      </c>
      <c r="F24" s="48">
        <v>-5000</v>
      </c>
      <c r="G24" s="48" t="s">
        <v>97</v>
      </c>
      <c r="H24" s="47" t="s">
        <v>77</v>
      </c>
      <c r="I24" s="47" t="s">
        <v>765</v>
      </c>
      <c r="J24" s="47" t="s">
        <v>60</v>
      </c>
      <c r="K24" s="42" t="s">
        <v>713</v>
      </c>
    </row>
    <row r="25" spans="1:11" x14ac:dyDescent="0.35">
      <c r="A25" s="1" t="s">
        <v>1339</v>
      </c>
      <c r="B25" s="47" t="s">
        <v>1340</v>
      </c>
      <c r="C25" s="47" t="s">
        <v>1332</v>
      </c>
      <c r="D25" s="47" t="s">
        <v>450</v>
      </c>
      <c r="E25" s="47" t="s">
        <v>44</v>
      </c>
      <c r="F25" s="48">
        <v>-12.9</v>
      </c>
      <c r="G25" s="48"/>
      <c r="H25" s="47" t="s">
        <v>73</v>
      </c>
      <c r="I25" s="47" t="s">
        <v>74</v>
      </c>
      <c r="J25" s="47" t="s">
        <v>47</v>
      </c>
      <c r="K25" s="42" t="s">
        <v>713</v>
      </c>
    </row>
    <row r="26" spans="1:11" x14ac:dyDescent="0.35">
      <c r="A26" s="1" t="s">
        <v>1342</v>
      </c>
      <c r="B26" s="47" t="s">
        <v>1340</v>
      </c>
      <c r="C26" s="47" t="s">
        <v>1332</v>
      </c>
      <c r="D26" s="47" t="s">
        <v>1343</v>
      </c>
      <c r="E26" s="47" t="s">
        <v>44</v>
      </c>
      <c r="F26" s="48">
        <v>-12.9</v>
      </c>
      <c r="G26" s="48"/>
      <c r="H26" s="47" t="s">
        <v>73</v>
      </c>
      <c r="I26" s="47" t="s">
        <v>74</v>
      </c>
      <c r="J26" s="47" t="s">
        <v>47</v>
      </c>
      <c r="K26" s="42" t="s">
        <v>713</v>
      </c>
    </row>
    <row r="27" spans="1:11" x14ac:dyDescent="0.35">
      <c r="A27" s="1" t="s">
        <v>1336</v>
      </c>
      <c r="B27" s="47" t="s">
        <v>1337</v>
      </c>
      <c r="C27" s="47" t="s">
        <v>1326</v>
      </c>
      <c r="D27" s="47" t="s">
        <v>1338</v>
      </c>
      <c r="E27" s="47" t="s">
        <v>44</v>
      </c>
      <c r="F27" s="48">
        <v>-50</v>
      </c>
      <c r="G27" s="48"/>
      <c r="H27" s="47" t="s">
        <v>98</v>
      </c>
      <c r="I27" s="47" t="s">
        <v>124</v>
      </c>
      <c r="J27" s="47" t="s">
        <v>91</v>
      </c>
      <c r="K27" s="42" t="s">
        <v>713</v>
      </c>
    </row>
    <row r="28" spans="1:11" x14ac:dyDescent="0.35">
      <c r="A28" s="1" t="s">
        <v>1331</v>
      </c>
      <c r="B28" s="47" t="s">
        <v>1332</v>
      </c>
      <c r="C28" s="47" t="s">
        <v>1326</v>
      </c>
      <c r="D28" s="47" t="s">
        <v>1333</v>
      </c>
      <c r="E28" s="47" t="s">
        <v>44</v>
      </c>
      <c r="F28" s="48">
        <v>-32.9</v>
      </c>
      <c r="G28" s="48"/>
      <c r="H28" s="47" t="s">
        <v>45</v>
      </c>
      <c r="I28" s="47" t="s">
        <v>46</v>
      </c>
      <c r="J28" s="47" t="s">
        <v>47</v>
      </c>
      <c r="K28" s="42" t="s">
        <v>713</v>
      </c>
    </row>
    <row r="29" spans="1:11" x14ac:dyDescent="0.35">
      <c r="A29" s="1" t="s">
        <v>1334</v>
      </c>
      <c r="B29" s="47" t="s">
        <v>1332</v>
      </c>
      <c r="C29" s="47" t="s">
        <v>1326</v>
      </c>
      <c r="D29" s="47" t="s">
        <v>1335</v>
      </c>
      <c r="E29" s="47" t="s">
        <v>44</v>
      </c>
      <c r="F29" s="48">
        <v>-2.8</v>
      </c>
      <c r="G29" s="48"/>
      <c r="H29" s="47" t="s">
        <v>73</v>
      </c>
      <c r="I29" s="47" t="s">
        <v>74</v>
      </c>
      <c r="J29" s="47" t="s">
        <v>47</v>
      </c>
      <c r="K29" s="42" t="s">
        <v>713</v>
      </c>
    </row>
    <row r="30" spans="1:11" x14ac:dyDescent="0.35">
      <c r="A30" s="1" t="s">
        <v>1329</v>
      </c>
      <c r="B30" s="47" t="s">
        <v>1330</v>
      </c>
      <c r="C30" s="47" t="s">
        <v>1323</v>
      </c>
      <c r="D30" s="47" t="s">
        <v>49</v>
      </c>
      <c r="E30" s="47" t="s">
        <v>44</v>
      </c>
      <c r="F30" s="48">
        <v>-35.700000000000003</v>
      </c>
      <c r="G30" s="48"/>
      <c r="H30" s="47" t="s">
        <v>50</v>
      </c>
      <c r="I30" s="47" t="s">
        <v>51</v>
      </c>
      <c r="J30" s="47" t="s">
        <v>47</v>
      </c>
      <c r="K30" s="42" t="s">
        <v>713</v>
      </c>
    </row>
    <row r="31" spans="1:11" x14ac:dyDescent="0.35">
      <c r="A31" s="1" t="s">
        <v>1325</v>
      </c>
      <c r="B31" s="47" t="s">
        <v>1326</v>
      </c>
      <c r="C31" s="47" t="s">
        <v>1315</v>
      </c>
      <c r="D31" s="47" t="s">
        <v>1327</v>
      </c>
      <c r="E31" s="47" t="s">
        <v>44</v>
      </c>
      <c r="F31" s="48">
        <v>-27.99</v>
      </c>
      <c r="G31" s="48"/>
      <c r="H31" s="47" t="s">
        <v>90</v>
      </c>
      <c r="I31" s="47" t="s">
        <v>590</v>
      </c>
      <c r="J31" s="47" t="s">
        <v>47</v>
      </c>
      <c r="K31" s="42" t="s">
        <v>713</v>
      </c>
    </row>
    <row r="32" spans="1:11" x14ac:dyDescent="0.35">
      <c r="A32" s="1" t="s">
        <v>1328</v>
      </c>
      <c r="B32" s="47" t="s">
        <v>1326</v>
      </c>
      <c r="C32" s="47" t="s">
        <v>1315</v>
      </c>
      <c r="D32" s="47" t="s">
        <v>226</v>
      </c>
      <c r="E32" s="47" t="s">
        <v>44</v>
      </c>
      <c r="F32" s="48">
        <v>-1</v>
      </c>
      <c r="G32" s="48"/>
      <c r="H32" s="47" t="s">
        <v>73</v>
      </c>
      <c r="I32" s="47" t="s">
        <v>112</v>
      </c>
      <c r="J32" s="47" t="s">
        <v>47</v>
      </c>
      <c r="K32" s="42" t="s">
        <v>713</v>
      </c>
    </row>
    <row r="33" spans="1:11" x14ac:dyDescent="0.35">
      <c r="A33" s="1" t="s">
        <v>1322</v>
      </c>
      <c r="B33" s="47" t="s">
        <v>1323</v>
      </c>
      <c r="C33" s="47" t="s">
        <v>1323</v>
      </c>
      <c r="D33" s="47" t="s">
        <v>1324</v>
      </c>
      <c r="E33" s="47" t="s">
        <v>44</v>
      </c>
      <c r="F33" s="48">
        <v>-65.08</v>
      </c>
      <c r="G33" s="48"/>
      <c r="H33" s="47" t="s">
        <v>50</v>
      </c>
      <c r="I33" s="47" t="s">
        <v>21</v>
      </c>
      <c r="J33" s="47" t="s">
        <v>79</v>
      </c>
      <c r="K33" s="42" t="s">
        <v>713</v>
      </c>
    </row>
    <row r="34" spans="1:11" x14ac:dyDescent="0.35">
      <c r="A34" s="1" t="s">
        <v>1320</v>
      </c>
      <c r="B34" s="47" t="s">
        <v>1315</v>
      </c>
      <c r="C34" s="47" t="s">
        <v>1312</v>
      </c>
      <c r="D34" s="47" t="s">
        <v>151</v>
      </c>
      <c r="E34" s="47" t="s">
        <v>44</v>
      </c>
      <c r="F34" s="48">
        <v>-87.12</v>
      </c>
      <c r="G34" s="48"/>
      <c r="H34" s="47" t="s">
        <v>50</v>
      </c>
      <c r="I34" s="47" t="s">
        <v>15</v>
      </c>
      <c r="J34" s="47" t="s">
        <v>47</v>
      </c>
      <c r="K34" s="42" t="s">
        <v>713</v>
      </c>
    </row>
    <row r="35" spans="1:11" x14ac:dyDescent="0.35">
      <c r="A35" s="1" t="s">
        <v>1321</v>
      </c>
      <c r="B35" s="47" t="s">
        <v>1315</v>
      </c>
      <c r="C35" s="47" t="s">
        <v>1312</v>
      </c>
      <c r="D35" s="47" t="s">
        <v>556</v>
      </c>
      <c r="E35" s="47" t="s">
        <v>44</v>
      </c>
      <c r="F35" s="48">
        <v>-68.08</v>
      </c>
      <c r="G35" s="48"/>
      <c r="H35" s="47" t="s">
        <v>90</v>
      </c>
      <c r="I35" s="47" t="s">
        <v>106</v>
      </c>
      <c r="J35" s="47" t="s">
        <v>47</v>
      </c>
      <c r="K35" s="42" t="s">
        <v>713</v>
      </c>
    </row>
    <row r="36" spans="1:11" x14ac:dyDescent="0.35">
      <c r="A36" s="1" t="s">
        <v>1314</v>
      </c>
      <c r="B36" s="47" t="s">
        <v>1315</v>
      </c>
      <c r="C36" s="47" t="s">
        <v>1315</v>
      </c>
      <c r="D36" s="47" t="s">
        <v>1318</v>
      </c>
      <c r="E36" s="47" t="s">
        <v>44</v>
      </c>
      <c r="F36" s="48">
        <v>-23</v>
      </c>
      <c r="G36" s="48"/>
      <c r="H36" s="47" t="s">
        <v>50</v>
      </c>
      <c r="I36" s="47" t="s">
        <v>21</v>
      </c>
      <c r="J36" s="47" t="s">
        <v>1319</v>
      </c>
      <c r="K36" s="42" t="s">
        <v>713</v>
      </c>
    </row>
    <row r="37" spans="1:11" x14ac:dyDescent="0.35">
      <c r="A37" s="1" t="s">
        <v>1314</v>
      </c>
      <c r="B37" s="47" t="s">
        <v>1315</v>
      </c>
      <c r="C37" s="47" t="s">
        <v>1315</v>
      </c>
      <c r="D37" s="47" t="s">
        <v>1316</v>
      </c>
      <c r="E37" s="47" t="s">
        <v>44</v>
      </c>
      <c r="F37" s="48">
        <v>-2.15</v>
      </c>
      <c r="G37" s="48"/>
      <c r="H37" s="47" t="s">
        <v>136</v>
      </c>
      <c r="I37" s="47" t="s">
        <v>402</v>
      </c>
      <c r="J37" s="47" t="s">
        <v>1317</v>
      </c>
      <c r="K37" s="42" t="s">
        <v>713</v>
      </c>
    </row>
    <row r="38" spans="1:11" x14ac:dyDescent="0.35">
      <c r="A38" s="1" t="s">
        <v>1313</v>
      </c>
      <c r="B38" s="47" t="s">
        <v>1312</v>
      </c>
      <c r="C38" s="47" t="s">
        <v>1305</v>
      </c>
      <c r="D38" s="47" t="s">
        <v>121</v>
      </c>
      <c r="E38" s="47" t="s">
        <v>44</v>
      </c>
      <c r="F38" s="48">
        <v>-19.18</v>
      </c>
      <c r="G38" s="48"/>
      <c r="H38" s="47" t="s">
        <v>50</v>
      </c>
      <c r="I38" s="47" t="s">
        <v>15</v>
      </c>
      <c r="J38" s="47" t="s">
        <v>47</v>
      </c>
      <c r="K38" s="42" t="s">
        <v>713</v>
      </c>
    </row>
    <row r="39" spans="1:11" x14ac:dyDescent="0.35">
      <c r="A39" s="1" t="s">
        <v>1311</v>
      </c>
      <c r="B39" s="47" t="s">
        <v>1312</v>
      </c>
      <c r="C39" s="47" t="s">
        <v>1305</v>
      </c>
      <c r="D39" s="47" t="s">
        <v>707</v>
      </c>
      <c r="E39" s="47" t="s">
        <v>44</v>
      </c>
      <c r="F39" s="48">
        <v>-16.600000000000001</v>
      </c>
      <c r="G39" s="48"/>
      <c r="H39" s="47" t="s">
        <v>45</v>
      </c>
      <c r="I39" s="47" t="s">
        <v>361</v>
      </c>
      <c r="J39" s="47" t="s">
        <v>47</v>
      </c>
      <c r="K39" s="42" t="s">
        <v>713</v>
      </c>
    </row>
    <row r="40" spans="1:11" x14ac:dyDescent="0.35">
      <c r="A40" s="1" t="s">
        <v>1304</v>
      </c>
      <c r="B40" s="47" t="s">
        <v>1305</v>
      </c>
      <c r="C40" s="47" t="s">
        <v>1298</v>
      </c>
      <c r="D40" s="47" t="s">
        <v>665</v>
      </c>
      <c r="E40" s="47" t="s">
        <v>44</v>
      </c>
      <c r="F40" s="48">
        <v>-39.700000000000003</v>
      </c>
      <c r="G40" s="48"/>
      <c r="H40" s="47" t="s">
        <v>251</v>
      </c>
      <c r="I40" s="47" t="s">
        <v>288</v>
      </c>
      <c r="J40" s="47" t="s">
        <v>47</v>
      </c>
      <c r="K40" s="42" t="s">
        <v>713</v>
      </c>
    </row>
    <row r="41" spans="1:11" x14ac:dyDescent="0.35">
      <c r="A41" s="1" t="s">
        <v>1307</v>
      </c>
      <c r="B41" s="47" t="s">
        <v>1305</v>
      </c>
      <c r="C41" s="47" t="s">
        <v>1298</v>
      </c>
      <c r="D41" s="47" t="s">
        <v>1308</v>
      </c>
      <c r="E41" s="47" t="s">
        <v>44</v>
      </c>
      <c r="F41" s="48">
        <v>-15.5</v>
      </c>
      <c r="G41" s="48"/>
      <c r="H41" s="47" t="s">
        <v>251</v>
      </c>
      <c r="I41" s="47" t="s">
        <v>252</v>
      </c>
      <c r="J41" s="47" t="s">
        <v>47</v>
      </c>
      <c r="K41" s="42" t="s">
        <v>713</v>
      </c>
    </row>
    <row r="42" spans="1:11" x14ac:dyDescent="0.35">
      <c r="A42" s="1" t="s">
        <v>1306</v>
      </c>
      <c r="B42" s="47" t="s">
        <v>1305</v>
      </c>
      <c r="C42" s="47" t="s">
        <v>1298</v>
      </c>
      <c r="D42" s="47" t="s">
        <v>63</v>
      </c>
      <c r="E42" s="47" t="s">
        <v>44</v>
      </c>
      <c r="F42" s="48">
        <v>-13.38</v>
      </c>
      <c r="G42" s="48"/>
      <c r="H42" s="47" t="s">
        <v>50</v>
      </c>
      <c r="I42" s="47" t="s">
        <v>15</v>
      </c>
      <c r="J42" s="47" t="s">
        <v>47</v>
      </c>
      <c r="K42" s="42" t="s">
        <v>713</v>
      </c>
    </row>
    <row r="43" spans="1:11" x14ac:dyDescent="0.35">
      <c r="A43" s="1" t="s">
        <v>1309</v>
      </c>
      <c r="B43" s="47" t="s">
        <v>1305</v>
      </c>
      <c r="C43" s="47" t="s">
        <v>1298</v>
      </c>
      <c r="D43" s="47" t="s">
        <v>507</v>
      </c>
      <c r="E43" s="47" t="s">
        <v>44</v>
      </c>
      <c r="F43" s="48">
        <v>-11.9</v>
      </c>
      <c r="G43" s="48"/>
      <c r="H43" s="47" t="s">
        <v>45</v>
      </c>
      <c r="I43" s="47" t="s">
        <v>361</v>
      </c>
      <c r="J43" s="47" t="s">
        <v>47</v>
      </c>
      <c r="K43" s="42" t="s">
        <v>713</v>
      </c>
    </row>
    <row r="44" spans="1:11" x14ac:dyDescent="0.35">
      <c r="A44" s="1" t="s">
        <v>1310</v>
      </c>
      <c r="B44" s="47" t="s">
        <v>1305</v>
      </c>
      <c r="C44" s="47" t="s">
        <v>1305</v>
      </c>
      <c r="D44" s="47" t="s">
        <v>211</v>
      </c>
      <c r="E44" s="47" t="s">
        <v>44</v>
      </c>
      <c r="F44" s="48">
        <v>2614.7199999999998</v>
      </c>
      <c r="G44" s="48"/>
      <c r="H44" s="47" t="s">
        <v>58</v>
      </c>
      <c r="I44" s="47" t="s">
        <v>59</v>
      </c>
      <c r="J44" s="47" t="s">
        <v>60</v>
      </c>
      <c r="K44" s="42" t="s">
        <v>713</v>
      </c>
    </row>
    <row r="45" spans="1:11" x14ac:dyDescent="0.35">
      <c r="A45" s="1" t="s">
        <v>1302</v>
      </c>
      <c r="B45" s="47" t="s">
        <v>1300</v>
      </c>
      <c r="C45" s="47" t="s">
        <v>1294</v>
      </c>
      <c r="D45" s="47" t="s">
        <v>197</v>
      </c>
      <c r="E45" s="47" t="s">
        <v>44</v>
      </c>
      <c r="F45" s="48">
        <v>-132.4</v>
      </c>
      <c r="G45" s="48"/>
      <c r="H45" s="47" t="s">
        <v>50</v>
      </c>
      <c r="I45" s="47" t="s">
        <v>19</v>
      </c>
      <c r="J45" s="47" t="s">
        <v>47</v>
      </c>
      <c r="K45" s="42" t="s">
        <v>713</v>
      </c>
    </row>
    <row r="46" spans="1:11" x14ac:dyDescent="0.35">
      <c r="A46" s="1" t="s">
        <v>1301</v>
      </c>
      <c r="B46" s="47" t="s">
        <v>1300</v>
      </c>
      <c r="C46" s="47" t="s">
        <v>1294</v>
      </c>
      <c r="D46" s="47" t="s">
        <v>1250</v>
      </c>
      <c r="E46" s="47" t="s">
        <v>44</v>
      </c>
      <c r="F46" s="48">
        <v>-26.89</v>
      </c>
      <c r="G46" s="48"/>
      <c r="H46" s="47" t="s">
        <v>50</v>
      </c>
      <c r="I46" s="47" t="s">
        <v>78</v>
      </c>
      <c r="J46" s="47" t="s">
        <v>47</v>
      </c>
      <c r="K46" s="42" t="s">
        <v>713</v>
      </c>
    </row>
    <row r="47" spans="1:11" x14ac:dyDescent="0.35">
      <c r="A47" s="1" t="s">
        <v>1303</v>
      </c>
      <c r="B47" s="47" t="s">
        <v>1300</v>
      </c>
      <c r="C47" s="47" t="s">
        <v>1294</v>
      </c>
      <c r="D47" s="47" t="s">
        <v>431</v>
      </c>
      <c r="E47" s="47" t="s">
        <v>44</v>
      </c>
      <c r="F47" s="48">
        <v>-21.9</v>
      </c>
      <c r="G47" s="48"/>
      <c r="H47" s="47" t="s">
        <v>251</v>
      </c>
      <c r="I47" s="47" t="s">
        <v>288</v>
      </c>
      <c r="J47" s="47" t="s">
        <v>47</v>
      </c>
      <c r="K47" s="42" t="s">
        <v>713</v>
      </c>
    </row>
    <row r="48" spans="1:11" x14ac:dyDescent="0.35">
      <c r="A48" s="1" t="s">
        <v>1299</v>
      </c>
      <c r="B48" s="47" t="s">
        <v>1300</v>
      </c>
      <c r="C48" s="47" t="s">
        <v>1294</v>
      </c>
      <c r="D48" s="47" t="s">
        <v>194</v>
      </c>
      <c r="E48" s="47" t="s">
        <v>44</v>
      </c>
      <c r="F48" s="48">
        <v>-4.18</v>
      </c>
      <c r="G48" s="48"/>
      <c r="H48" s="47" t="s">
        <v>50</v>
      </c>
      <c r="I48" s="47" t="s">
        <v>195</v>
      </c>
      <c r="J48" s="47" t="s">
        <v>47</v>
      </c>
      <c r="K48" s="42" t="s">
        <v>713</v>
      </c>
    </row>
    <row r="49" spans="1:11" x14ac:dyDescent="0.35">
      <c r="A49" s="1" t="s">
        <v>1297</v>
      </c>
      <c r="B49" s="47" t="s">
        <v>1298</v>
      </c>
      <c r="C49" s="47" t="s">
        <v>1290</v>
      </c>
      <c r="D49" s="47" t="s">
        <v>665</v>
      </c>
      <c r="E49" s="47" t="s">
        <v>44</v>
      </c>
      <c r="F49" s="48">
        <v>-55</v>
      </c>
      <c r="G49" s="48"/>
      <c r="H49" s="47" t="s">
        <v>251</v>
      </c>
      <c r="I49" s="47" t="s">
        <v>288</v>
      </c>
      <c r="J49" s="47" t="s">
        <v>47</v>
      </c>
      <c r="K49" s="42" t="s">
        <v>713</v>
      </c>
    </row>
    <row r="50" spans="1:11" x14ac:dyDescent="0.35">
      <c r="A50" s="1" t="s">
        <v>1293</v>
      </c>
      <c r="B50" s="47" t="s">
        <v>1294</v>
      </c>
      <c r="C50" s="47" t="s">
        <v>1295</v>
      </c>
      <c r="D50" s="47" t="s">
        <v>1296</v>
      </c>
      <c r="E50" s="47" t="s">
        <v>44</v>
      </c>
      <c r="F50" s="48">
        <v>-49</v>
      </c>
      <c r="G50" s="48"/>
      <c r="H50" s="47" t="s">
        <v>90</v>
      </c>
      <c r="I50" s="47" t="s">
        <v>78</v>
      </c>
      <c r="J50" s="47" t="s">
        <v>47</v>
      </c>
      <c r="K50" s="42" t="s">
        <v>713</v>
      </c>
    </row>
    <row r="51" spans="1:11" x14ac:dyDescent="0.35">
      <c r="A51" s="1" t="s">
        <v>1291</v>
      </c>
      <c r="B51" s="47" t="s">
        <v>1290</v>
      </c>
      <c r="C51" s="47" t="s">
        <v>1290</v>
      </c>
      <c r="D51" s="47" t="s">
        <v>1292</v>
      </c>
      <c r="E51" s="47" t="s">
        <v>44</v>
      </c>
      <c r="F51" s="48">
        <v>-881.2</v>
      </c>
      <c r="G51" s="48"/>
      <c r="H51" s="17" t="s">
        <v>1698</v>
      </c>
      <c r="I51" s="17" t="s">
        <v>205</v>
      </c>
      <c r="J51" s="47" t="s">
        <v>79</v>
      </c>
      <c r="K51" s="42" t="s">
        <v>713</v>
      </c>
    </row>
    <row r="52" spans="1:11" x14ac:dyDescent="0.35">
      <c r="A52" s="6" t="s">
        <v>1289</v>
      </c>
      <c r="B52" s="7" t="s">
        <v>1290</v>
      </c>
      <c r="C52" s="7" t="s">
        <v>1290</v>
      </c>
      <c r="D52" s="7" t="s">
        <v>57</v>
      </c>
      <c r="E52" s="7" t="s">
        <v>44</v>
      </c>
      <c r="F52" s="10">
        <v>1107.8699999999999</v>
      </c>
      <c r="G52" s="10"/>
      <c r="H52" s="7" t="s">
        <v>58</v>
      </c>
      <c r="I52" s="7" t="s">
        <v>59</v>
      </c>
      <c r="J52" s="7" t="s">
        <v>60</v>
      </c>
      <c r="K52" s="43" t="s">
        <v>713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68F8-5DCD-4FB8-A0C3-A81CD2F89531}">
  <dimension ref="A1:B45"/>
  <sheetViews>
    <sheetView workbookViewId="0">
      <selection activeCell="A4" sqref="A4:A16"/>
    </sheetView>
  </sheetViews>
  <sheetFormatPr defaultRowHeight="12.75" x14ac:dyDescent="0.35"/>
  <cols>
    <col min="1" max="1" width="31.3320312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98</v>
      </c>
      <c r="B6" s="12">
        <v>-50</v>
      </c>
    </row>
    <row r="7" spans="1:2" x14ac:dyDescent="0.35">
      <c r="A7" s="28" t="s">
        <v>124</v>
      </c>
      <c r="B7" s="12">
        <v>-50</v>
      </c>
    </row>
    <row r="8" spans="1:2" x14ac:dyDescent="0.35">
      <c r="A8" s="14" t="s">
        <v>45</v>
      </c>
      <c r="B8" s="12">
        <v>-86.4</v>
      </c>
    </row>
    <row r="9" spans="1:2" x14ac:dyDescent="0.35">
      <c r="A9" s="28" t="s">
        <v>361</v>
      </c>
      <c r="B9" s="12">
        <v>-34.5</v>
      </c>
    </row>
    <row r="10" spans="1:2" x14ac:dyDescent="0.35">
      <c r="A10" s="28" t="s">
        <v>46</v>
      </c>
      <c r="B10" s="12">
        <v>-51.9</v>
      </c>
    </row>
    <row r="11" spans="1:2" x14ac:dyDescent="0.35">
      <c r="A11" s="14" t="s">
        <v>50</v>
      </c>
      <c r="B11" s="12">
        <v>-676.75</v>
      </c>
    </row>
    <row r="12" spans="1:2" x14ac:dyDescent="0.35">
      <c r="A12" s="28" t="s">
        <v>165</v>
      </c>
      <c r="B12" s="12">
        <v>-18.98</v>
      </c>
    </row>
    <row r="13" spans="1:2" x14ac:dyDescent="0.35">
      <c r="A13" s="28" t="s">
        <v>15</v>
      </c>
      <c r="B13" s="12">
        <v>-201.02</v>
      </c>
    </row>
    <row r="14" spans="1:2" x14ac:dyDescent="0.35">
      <c r="A14" s="28" t="s">
        <v>19</v>
      </c>
      <c r="B14" s="12">
        <v>-301.89999999999998</v>
      </c>
    </row>
    <row r="15" spans="1:2" x14ac:dyDescent="0.35">
      <c r="A15" s="28" t="s">
        <v>195</v>
      </c>
      <c r="B15" s="12">
        <v>-4.18</v>
      </c>
    </row>
    <row r="16" spans="1:2" x14ac:dyDescent="0.35">
      <c r="A16" s="28" t="s">
        <v>21</v>
      </c>
      <c r="B16" s="12">
        <v>-88.08</v>
      </c>
    </row>
    <row r="17" spans="1:2" x14ac:dyDescent="0.35">
      <c r="A17" s="28" t="s">
        <v>51</v>
      </c>
      <c r="B17" s="12">
        <v>-35.700000000000003</v>
      </c>
    </row>
    <row r="18" spans="1:2" x14ac:dyDescent="0.35">
      <c r="A18" s="28" t="s">
        <v>78</v>
      </c>
      <c r="B18" s="12">
        <v>-26.89</v>
      </c>
    </row>
    <row r="19" spans="1:2" x14ac:dyDescent="0.35">
      <c r="A19" s="14" t="s">
        <v>101</v>
      </c>
      <c r="B19" s="12">
        <v>30</v>
      </c>
    </row>
    <row r="20" spans="1:2" x14ac:dyDescent="0.35">
      <c r="A20" s="28" t="s">
        <v>59</v>
      </c>
      <c r="B20" s="12">
        <v>30</v>
      </c>
    </row>
    <row r="21" spans="1:2" x14ac:dyDescent="0.35">
      <c r="A21" s="14" t="s">
        <v>58</v>
      </c>
      <c r="B21" s="12">
        <v>3722.5899999999997</v>
      </c>
    </row>
    <row r="22" spans="1:2" x14ac:dyDescent="0.35">
      <c r="A22" s="28" t="s">
        <v>59</v>
      </c>
      <c r="B22" s="12">
        <v>3722.5899999999997</v>
      </c>
    </row>
    <row r="23" spans="1:2" x14ac:dyDescent="0.35">
      <c r="A23" s="14" t="s">
        <v>251</v>
      </c>
      <c r="B23" s="12">
        <v>-143.59</v>
      </c>
    </row>
    <row r="24" spans="1:2" x14ac:dyDescent="0.35">
      <c r="A24" s="28" t="s">
        <v>252</v>
      </c>
      <c r="B24" s="12">
        <v>-15.5</v>
      </c>
    </row>
    <row r="25" spans="1:2" x14ac:dyDescent="0.35">
      <c r="A25" s="28" t="s">
        <v>288</v>
      </c>
      <c r="B25" s="12">
        <v>-128.09</v>
      </c>
    </row>
    <row r="26" spans="1:2" x14ac:dyDescent="0.35">
      <c r="A26" s="14" t="s">
        <v>90</v>
      </c>
      <c r="B26" s="12">
        <v>-574.20000000000005</v>
      </c>
    </row>
    <row r="27" spans="1:2" x14ac:dyDescent="0.35">
      <c r="A27" s="28" t="s">
        <v>106</v>
      </c>
      <c r="B27" s="12">
        <v>-165.98000000000002</v>
      </c>
    </row>
    <row r="28" spans="1:2" x14ac:dyDescent="0.35">
      <c r="A28" s="28" t="s">
        <v>590</v>
      </c>
      <c r="B28" s="12">
        <v>-27.99</v>
      </c>
    </row>
    <row r="29" spans="1:2" x14ac:dyDescent="0.35">
      <c r="A29" s="28" t="s">
        <v>78</v>
      </c>
      <c r="B29" s="12">
        <v>-380.23</v>
      </c>
    </row>
    <row r="30" spans="1:2" x14ac:dyDescent="0.35">
      <c r="A30" s="14" t="s">
        <v>136</v>
      </c>
      <c r="B30" s="12">
        <v>-188.22</v>
      </c>
    </row>
    <row r="31" spans="1:2" x14ac:dyDescent="0.35">
      <c r="A31" s="28" t="s">
        <v>394</v>
      </c>
      <c r="B31" s="12">
        <v>-8.6199999999999992</v>
      </c>
    </row>
    <row r="32" spans="1:2" x14ac:dyDescent="0.35">
      <c r="A32" s="28" t="s">
        <v>402</v>
      </c>
      <c r="B32" s="12">
        <v>-6.65</v>
      </c>
    </row>
    <row r="33" spans="1:2" x14ac:dyDescent="0.35">
      <c r="A33" s="28" t="s">
        <v>137</v>
      </c>
      <c r="B33" s="12">
        <v>-172.95</v>
      </c>
    </row>
    <row r="34" spans="1:2" x14ac:dyDescent="0.35">
      <c r="A34" s="14" t="s">
        <v>464</v>
      </c>
      <c r="B34" s="12">
        <v>-90</v>
      </c>
    </row>
    <row r="35" spans="1:2" x14ac:dyDescent="0.35">
      <c r="A35" s="28" t="s">
        <v>1382</v>
      </c>
      <c r="B35" s="12">
        <v>-90</v>
      </c>
    </row>
    <row r="36" spans="1:2" x14ac:dyDescent="0.35">
      <c r="A36" s="14" t="s">
        <v>77</v>
      </c>
      <c r="B36" s="12">
        <v>-2</v>
      </c>
    </row>
    <row r="37" spans="1:2" x14ac:dyDescent="0.35">
      <c r="A37" s="28" t="s">
        <v>200</v>
      </c>
      <c r="B37" s="12">
        <v>-2</v>
      </c>
    </row>
    <row r="38" spans="1:2" x14ac:dyDescent="0.35">
      <c r="A38" s="14" t="s">
        <v>73</v>
      </c>
      <c r="B38" s="12">
        <v>-228.9</v>
      </c>
    </row>
    <row r="39" spans="1:2" x14ac:dyDescent="0.35">
      <c r="A39" s="28" t="s">
        <v>309</v>
      </c>
      <c r="B39" s="12">
        <v>-30</v>
      </c>
    </row>
    <row r="40" spans="1:2" x14ac:dyDescent="0.35">
      <c r="A40" s="28" t="s">
        <v>112</v>
      </c>
      <c r="B40" s="12">
        <v>-4.8</v>
      </c>
    </row>
    <row r="41" spans="1:2" x14ac:dyDescent="0.35">
      <c r="A41" s="28" t="s">
        <v>74</v>
      </c>
      <c r="B41" s="12">
        <v>-28.6</v>
      </c>
    </row>
    <row r="42" spans="1:2" x14ac:dyDescent="0.35">
      <c r="A42" s="28" t="s">
        <v>280</v>
      </c>
      <c r="B42" s="12">
        <v>-165.5</v>
      </c>
    </row>
    <row r="43" spans="1:2" x14ac:dyDescent="0.35">
      <c r="A43" s="14" t="s">
        <v>1698</v>
      </c>
      <c r="B43" s="12">
        <v>-881.2</v>
      </c>
    </row>
    <row r="44" spans="1:2" x14ac:dyDescent="0.35">
      <c r="A44" s="28" t="s">
        <v>205</v>
      </c>
      <c r="B44" s="12">
        <v>-881.2</v>
      </c>
    </row>
    <row r="45" spans="1:2" x14ac:dyDescent="0.35">
      <c r="A45" s="14" t="s">
        <v>208</v>
      </c>
      <c r="B45" s="12">
        <v>1381.3299999999997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D183-3B85-444D-8ACA-3319A2E41028}">
  <dimension ref="A1:K75"/>
  <sheetViews>
    <sheetView topLeftCell="A18" workbookViewId="0">
      <selection activeCell="I75" sqref="I75"/>
    </sheetView>
  </sheetViews>
  <sheetFormatPr defaultRowHeight="12.75" x14ac:dyDescent="0.35"/>
  <cols>
    <col min="1" max="1" width="20.59765625" customWidth="1"/>
    <col min="2" max="2" width="16.796875" customWidth="1"/>
    <col min="3" max="3" width="12.33203125" customWidth="1"/>
    <col min="4" max="4" width="12.9296875" customWidth="1"/>
    <col min="6" max="7" width="9.59765625" customWidth="1"/>
    <col min="8" max="8" width="11.06640625" customWidth="1"/>
    <col min="9" max="9" width="15.3984375" customWidth="1"/>
    <col min="10" max="10" width="10.265625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410</v>
      </c>
      <c r="H1" s="4" t="s">
        <v>38</v>
      </c>
      <c r="I1" s="4" t="s">
        <v>39</v>
      </c>
      <c r="J1" s="4" t="s">
        <v>40</v>
      </c>
      <c r="K1" s="5" t="s">
        <v>708</v>
      </c>
    </row>
    <row r="2" spans="1:11" x14ac:dyDescent="0.35">
      <c r="A2" s="1"/>
      <c r="B2" s="49">
        <v>45991</v>
      </c>
      <c r="C2" s="49">
        <v>45991</v>
      </c>
      <c r="D2" s="47" t="s">
        <v>1292</v>
      </c>
      <c r="E2" s="47" t="s">
        <v>44</v>
      </c>
      <c r="F2" s="48">
        <v>-881.2</v>
      </c>
      <c r="G2" s="48"/>
      <c r="H2" s="47" t="s">
        <v>1698</v>
      </c>
      <c r="I2" s="47" t="s">
        <v>205</v>
      </c>
      <c r="J2" s="47"/>
      <c r="K2" s="42"/>
    </row>
    <row r="3" spans="1:11" x14ac:dyDescent="0.35">
      <c r="A3" s="1" t="s">
        <v>1523</v>
      </c>
      <c r="B3" s="47" t="s">
        <v>1295</v>
      </c>
      <c r="C3" s="47" t="s">
        <v>1483</v>
      </c>
      <c r="D3" s="47" t="s">
        <v>665</v>
      </c>
      <c r="E3" s="47" t="s">
        <v>44</v>
      </c>
      <c r="F3" s="48">
        <v>-39.700000000000003</v>
      </c>
      <c r="G3" s="48"/>
      <c r="H3" s="47" t="s">
        <v>251</v>
      </c>
      <c r="I3" s="47" t="s">
        <v>288</v>
      </c>
      <c r="J3" s="47" t="s">
        <v>47</v>
      </c>
      <c r="K3" s="42" t="s">
        <v>713</v>
      </c>
    </row>
    <row r="4" spans="1:11" x14ac:dyDescent="0.35">
      <c r="A4" s="1" t="s">
        <v>1518</v>
      </c>
      <c r="B4" s="47" t="s">
        <v>1295</v>
      </c>
      <c r="C4" s="47" t="s">
        <v>1483</v>
      </c>
      <c r="D4" s="47" t="s">
        <v>1519</v>
      </c>
      <c r="E4" s="47" t="s">
        <v>44</v>
      </c>
      <c r="F4" s="48">
        <v>-25.19</v>
      </c>
      <c r="G4" s="48"/>
      <c r="H4" s="47" t="s">
        <v>90</v>
      </c>
      <c r="I4" s="47" t="s">
        <v>106</v>
      </c>
      <c r="J4" s="47" t="s">
        <v>47</v>
      </c>
      <c r="K4" s="42" t="s">
        <v>713</v>
      </c>
    </row>
    <row r="5" spans="1:11" x14ac:dyDescent="0.35">
      <c r="A5" s="1" t="s">
        <v>1512</v>
      </c>
      <c r="B5" s="47" t="s">
        <v>1295</v>
      </c>
      <c r="C5" s="47" t="s">
        <v>1483</v>
      </c>
      <c r="D5" s="47" t="s">
        <v>1513</v>
      </c>
      <c r="E5" s="47" t="s">
        <v>44</v>
      </c>
      <c r="F5" s="48">
        <v>-24</v>
      </c>
      <c r="G5" s="48"/>
      <c r="H5" s="47" t="s">
        <v>73</v>
      </c>
      <c r="I5" s="47" t="s">
        <v>897</v>
      </c>
      <c r="J5" s="47" t="s">
        <v>47</v>
      </c>
      <c r="K5" s="42" t="s">
        <v>713</v>
      </c>
    </row>
    <row r="6" spans="1:11" x14ac:dyDescent="0.35">
      <c r="A6" s="1" t="s">
        <v>1516</v>
      </c>
      <c r="B6" s="47" t="s">
        <v>1295</v>
      </c>
      <c r="C6" s="47" t="s">
        <v>1483</v>
      </c>
      <c r="D6" s="47" t="s">
        <v>1517</v>
      </c>
      <c r="E6" s="47" t="s">
        <v>44</v>
      </c>
      <c r="F6" s="48">
        <v>-21.58</v>
      </c>
      <c r="G6" s="48"/>
      <c r="H6" s="47" t="s">
        <v>90</v>
      </c>
      <c r="I6" s="47" t="s">
        <v>106</v>
      </c>
      <c r="J6" s="47" t="s">
        <v>47</v>
      </c>
      <c r="K6" s="42" t="s">
        <v>713</v>
      </c>
    </row>
    <row r="7" spans="1:11" x14ac:dyDescent="0.35">
      <c r="A7" s="1" t="s">
        <v>1521</v>
      </c>
      <c r="B7" s="47" t="s">
        <v>1295</v>
      </c>
      <c r="C7" s="47" t="s">
        <v>1483</v>
      </c>
      <c r="D7" s="47" t="s">
        <v>1522</v>
      </c>
      <c r="E7" s="47" t="s">
        <v>44</v>
      </c>
      <c r="F7" s="48">
        <v>-6</v>
      </c>
      <c r="G7" s="48"/>
      <c r="H7" s="47" t="s">
        <v>73</v>
      </c>
      <c r="I7" s="47" t="s">
        <v>309</v>
      </c>
      <c r="J7" s="47" t="s">
        <v>47</v>
      </c>
      <c r="K7" s="42" t="s">
        <v>713</v>
      </c>
    </row>
    <row r="8" spans="1:11" x14ac:dyDescent="0.35">
      <c r="A8" s="1" t="s">
        <v>1520</v>
      </c>
      <c r="B8" s="47" t="s">
        <v>1295</v>
      </c>
      <c r="C8" s="47" t="s">
        <v>1483</v>
      </c>
      <c r="D8" s="47" t="s">
        <v>815</v>
      </c>
      <c r="E8" s="47" t="s">
        <v>44</v>
      </c>
      <c r="F8" s="48">
        <v>-4.8</v>
      </c>
      <c r="G8" s="48"/>
      <c r="H8" s="47" t="s">
        <v>73</v>
      </c>
      <c r="I8" s="47" t="s">
        <v>74</v>
      </c>
      <c r="J8" s="47" t="s">
        <v>47</v>
      </c>
      <c r="K8" s="42" t="s">
        <v>713</v>
      </c>
    </row>
    <row r="9" spans="1:11" x14ac:dyDescent="0.35">
      <c r="A9" s="1" t="s">
        <v>1514</v>
      </c>
      <c r="B9" s="47" t="s">
        <v>1295</v>
      </c>
      <c r="C9" s="47" t="s">
        <v>1483</v>
      </c>
      <c r="D9" s="47" t="s">
        <v>1515</v>
      </c>
      <c r="E9" s="47" t="s">
        <v>44</v>
      </c>
      <c r="F9" s="48">
        <v>-4.08</v>
      </c>
      <c r="G9" s="48"/>
      <c r="H9" s="47" t="s">
        <v>50</v>
      </c>
      <c r="I9" s="47" t="s">
        <v>15</v>
      </c>
      <c r="J9" s="47" t="s">
        <v>47</v>
      </c>
      <c r="K9" s="42" t="s">
        <v>713</v>
      </c>
    </row>
    <row r="10" spans="1:11" x14ac:dyDescent="0.35">
      <c r="A10" s="1" t="s">
        <v>1508</v>
      </c>
      <c r="B10" s="47" t="s">
        <v>1502</v>
      </c>
      <c r="C10" s="47" t="s">
        <v>1472</v>
      </c>
      <c r="D10" s="47" t="s">
        <v>1509</v>
      </c>
      <c r="E10" s="47" t="s">
        <v>44</v>
      </c>
      <c r="F10" s="48">
        <v>-65.489999999999995</v>
      </c>
      <c r="G10" s="48"/>
      <c r="H10" s="47" t="s">
        <v>50</v>
      </c>
      <c r="I10" s="47" t="s">
        <v>195</v>
      </c>
      <c r="J10" s="47" t="s">
        <v>47</v>
      </c>
      <c r="K10" s="42" t="s">
        <v>713</v>
      </c>
    </row>
    <row r="11" spans="1:11" x14ac:dyDescent="0.35">
      <c r="A11" s="1" t="s">
        <v>1511</v>
      </c>
      <c r="B11" s="47" t="s">
        <v>1502</v>
      </c>
      <c r="C11" s="47" t="s">
        <v>1502</v>
      </c>
      <c r="D11" s="47" t="s">
        <v>199</v>
      </c>
      <c r="E11" s="47" t="s">
        <v>44</v>
      </c>
      <c r="F11" s="48">
        <v>-30</v>
      </c>
      <c r="G11" s="48"/>
      <c r="H11" s="47" t="s">
        <v>77</v>
      </c>
      <c r="I11" s="47" t="s">
        <v>200</v>
      </c>
      <c r="J11" s="47" t="s">
        <v>79</v>
      </c>
      <c r="K11" s="42" t="s">
        <v>713</v>
      </c>
    </row>
    <row r="12" spans="1:11" x14ac:dyDescent="0.35">
      <c r="A12" s="1" t="s">
        <v>1510</v>
      </c>
      <c r="B12" s="47" t="s">
        <v>1502</v>
      </c>
      <c r="C12" s="47" t="s">
        <v>1502</v>
      </c>
      <c r="D12" s="47" t="s">
        <v>731</v>
      </c>
      <c r="E12" s="47" t="s">
        <v>44</v>
      </c>
      <c r="F12" s="48">
        <v>-28.88</v>
      </c>
      <c r="G12" s="48"/>
      <c r="H12" s="47" t="s">
        <v>77</v>
      </c>
      <c r="I12" s="47" t="s">
        <v>78</v>
      </c>
      <c r="J12" s="47" t="s">
        <v>79</v>
      </c>
      <c r="K12" s="42" t="s">
        <v>713</v>
      </c>
    </row>
    <row r="13" spans="1:11" x14ac:dyDescent="0.35">
      <c r="A13" s="1" t="s">
        <v>1506</v>
      </c>
      <c r="B13" s="47" t="s">
        <v>1502</v>
      </c>
      <c r="C13" s="47" t="s">
        <v>1503</v>
      </c>
      <c r="D13" s="47" t="s">
        <v>1507</v>
      </c>
      <c r="E13" s="47" t="s">
        <v>44</v>
      </c>
      <c r="F13" s="48">
        <v>-8.4</v>
      </c>
      <c r="G13" s="48"/>
      <c r="H13" s="47" t="s">
        <v>50</v>
      </c>
      <c r="I13" s="47" t="s">
        <v>195</v>
      </c>
      <c r="J13" s="47" t="s">
        <v>47</v>
      </c>
      <c r="K13" s="42" t="s">
        <v>713</v>
      </c>
    </row>
    <row r="14" spans="1:11" x14ac:dyDescent="0.35">
      <c r="A14" s="1" t="s">
        <v>1501</v>
      </c>
      <c r="B14" s="47" t="s">
        <v>1502</v>
      </c>
      <c r="C14" s="47" t="s">
        <v>1503</v>
      </c>
      <c r="D14" s="47" t="s">
        <v>544</v>
      </c>
      <c r="E14" s="47" t="s">
        <v>44</v>
      </c>
      <c r="F14" s="48">
        <v>-6.5</v>
      </c>
      <c r="G14" s="48"/>
      <c r="H14" s="47" t="s">
        <v>45</v>
      </c>
      <c r="I14" s="47" t="s">
        <v>361</v>
      </c>
      <c r="J14" s="47" t="s">
        <v>47</v>
      </c>
      <c r="K14" s="42" t="s">
        <v>713</v>
      </c>
    </row>
    <row r="15" spans="1:11" x14ac:dyDescent="0.35">
      <c r="A15" s="1" t="s">
        <v>1504</v>
      </c>
      <c r="B15" s="47" t="s">
        <v>1502</v>
      </c>
      <c r="C15" s="47" t="s">
        <v>1503</v>
      </c>
      <c r="D15" s="47" t="s">
        <v>1505</v>
      </c>
      <c r="E15" s="47" t="s">
        <v>44</v>
      </c>
      <c r="F15" s="48">
        <v>-2.79</v>
      </c>
      <c r="G15" s="48"/>
      <c r="H15" s="47" t="s">
        <v>45</v>
      </c>
      <c r="I15" s="47" t="s">
        <v>46</v>
      </c>
      <c r="J15" s="47" t="s">
        <v>47</v>
      </c>
      <c r="K15" s="42" t="s">
        <v>713</v>
      </c>
    </row>
    <row r="16" spans="1:11" x14ac:dyDescent="0.35">
      <c r="A16" s="1" t="s">
        <v>1497</v>
      </c>
      <c r="B16" s="47" t="s">
        <v>1483</v>
      </c>
      <c r="C16" s="47" t="s">
        <v>1472</v>
      </c>
      <c r="D16" s="47" t="s">
        <v>1498</v>
      </c>
      <c r="E16" s="47" t="s">
        <v>44</v>
      </c>
      <c r="F16" s="48">
        <v>-58.15</v>
      </c>
      <c r="G16" s="48"/>
      <c r="H16" s="47" t="s">
        <v>90</v>
      </c>
      <c r="I16" s="47" t="s">
        <v>106</v>
      </c>
      <c r="J16" s="47" t="s">
        <v>47</v>
      </c>
      <c r="K16" s="42" t="s">
        <v>713</v>
      </c>
    </row>
    <row r="17" spans="1:11" x14ac:dyDescent="0.35">
      <c r="A17" s="1" t="s">
        <v>1484</v>
      </c>
      <c r="B17" s="47" t="s">
        <v>1483</v>
      </c>
      <c r="C17" s="47" t="s">
        <v>1472</v>
      </c>
      <c r="D17" s="47" t="s">
        <v>1485</v>
      </c>
      <c r="E17" s="47" t="s">
        <v>44</v>
      </c>
      <c r="F17" s="48">
        <v>-39.99</v>
      </c>
      <c r="G17" s="48"/>
      <c r="H17" s="47" t="s">
        <v>90</v>
      </c>
      <c r="I17" s="47" t="s">
        <v>539</v>
      </c>
      <c r="J17" s="47" t="s">
        <v>47</v>
      </c>
      <c r="K17" s="42" t="s">
        <v>713</v>
      </c>
    </row>
    <row r="18" spans="1:11" x14ac:dyDescent="0.35">
      <c r="A18" s="1" t="s">
        <v>1495</v>
      </c>
      <c r="B18" s="47" t="s">
        <v>1483</v>
      </c>
      <c r="C18" s="47" t="s">
        <v>1472</v>
      </c>
      <c r="D18" s="47" t="s">
        <v>1496</v>
      </c>
      <c r="E18" s="47" t="s">
        <v>44</v>
      </c>
      <c r="F18" s="48">
        <v>-32.979999999999997</v>
      </c>
      <c r="G18" s="48"/>
      <c r="H18" s="47" t="s">
        <v>90</v>
      </c>
      <c r="I18" s="47" t="s">
        <v>590</v>
      </c>
      <c r="J18" s="47" t="s">
        <v>47</v>
      </c>
      <c r="K18" s="42" t="s">
        <v>713</v>
      </c>
    </row>
    <row r="19" spans="1:11" x14ac:dyDescent="0.35">
      <c r="A19" s="1" t="s">
        <v>1490</v>
      </c>
      <c r="B19" s="47" t="s">
        <v>1483</v>
      </c>
      <c r="C19" s="47" t="s">
        <v>1472</v>
      </c>
      <c r="D19" s="47" t="s">
        <v>1491</v>
      </c>
      <c r="E19" s="47" t="s">
        <v>44</v>
      </c>
      <c r="F19" s="48">
        <v>-14.9</v>
      </c>
      <c r="G19" s="48"/>
      <c r="H19" s="47" t="s">
        <v>50</v>
      </c>
      <c r="I19" s="47" t="s">
        <v>15</v>
      </c>
      <c r="J19" s="47" t="s">
        <v>47</v>
      </c>
      <c r="K19" s="42" t="s">
        <v>713</v>
      </c>
    </row>
    <row r="20" spans="1:11" x14ac:dyDescent="0.35">
      <c r="A20" s="1" t="s">
        <v>1488</v>
      </c>
      <c r="B20" s="47" t="s">
        <v>1483</v>
      </c>
      <c r="C20" s="47" t="s">
        <v>1472</v>
      </c>
      <c r="D20" s="47" t="s">
        <v>1489</v>
      </c>
      <c r="E20" s="47" t="s">
        <v>44</v>
      </c>
      <c r="F20" s="48">
        <v>-10</v>
      </c>
      <c r="G20" s="48"/>
      <c r="H20" s="47" t="s">
        <v>45</v>
      </c>
      <c r="I20" s="47" t="s">
        <v>46</v>
      </c>
      <c r="J20" s="47" t="s">
        <v>47</v>
      </c>
      <c r="K20" s="42" t="s">
        <v>713</v>
      </c>
    </row>
    <row r="21" spans="1:11" x14ac:dyDescent="0.35">
      <c r="A21" s="1" t="s">
        <v>1494</v>
      </c>
      <c r="B21" s="47" t="s">
        <v>1483</v>
      </c>
      <c r="C21" s="47" t="s">
        <v>1472</v>
      </c>
      <c r="D21" s="47" t="s">
        <v>544</v>
      </c>
      <c r="E21" s="47" t="s">
        <v>44</v>
      </c>
      <c r="F21" s="48">
        <v>-6.5</v>
      </c>
      <c r="G21" s="48"/>
      <c r="H21" s="47" t="s">
        <v>45</v>
      </c>
      <c r="I21" s="47" t="s">
        <v>361</v>
      </c>
      <c r="J21" s="47" t="s">
        <v>47</v>
      </c>
      <c r="K21" s="42" t="s">
        <v>713</v>
      </c>
    </row>
    <row r="22" spans="1:11" x14ac:dyDescent="0.35">
      <c r="A22" s="1" t="s">
        <v>1492</v>
      </c>
      <c r="B22" s="47" t="s">
        <v>1483</v>
      </c>
      <c r="C22" s="47" t="s">
        <v>1472</v>
      </c>
      <c r="D22" s="47" t="s">
        <v>1493</v>
      </c>
      <c r="E22" s="47" t="s">
        <v>44</v>
      </c>
      <c r="F22" s="48">
        <v>-6</v>
      </c>
      <c r="G22" s="48"/>
      <c r="H22" s="47" t="s">
        <v>50</v>
      </c>
      <c r="I22" s="47" t="s">
        <v>15</v>
      </c>
      <c r="J22" s="47" t="s">
        <v>47</v>
      </c>
      <c r="K22" s="42" t="s">
        <v>713</v>
      </c>
    </row>
    <row r="23" spans="1:11" x14ac:dyDescent="0.35">
      <c r="A23" s="1" t="s">
        <v>1486</v>
      </c>
      <c r="B23" s="47" t="s">
        <v>1483</v>
      </c>
      <c r="C23" s="47" t="s">
        <v>1472</v>
      </c>
      <c r="D23" s="47" t="s">
        <v>1487</v>
      </c>
      <c r="E23" s="47" t="s">
        <v>44</v>
      </c>
      <c r="F23" s="48">
        <v>-5.57</v>
      </c>
      <c r="G23" s="48"/>
      <c r="H23" s="47" t="s">
        <v>90</v>
      </c>
      <c r="I23" s="47" t="s">
        <v>78</v>
      </c>
      <c r="J23" s="47" t="s">
        <v>47</v>
      </c>
      <c r="K23" s="42" t="s">
        <v>713</v>
      </c>
    </row>
    <row r="24" spans="1:11" x14ac:dyDescent="0.35">
      <c r="A24" s="1" t="s">
        <v>1482</v>
      </c>
      <c r="B24" s="47" t="s">
        <v>1483</v>
      </c>
      <c r="C24" s="47" t="s">
        <v>1472</v>
      </c>
      <c r="D24" s="47" t="s">
        <v>72</v>
      </c>
      <c r="E24" s="47" t="s">
        <v>44</v>
      </c>
      <c r="F24" s="48">
        <v>-4.8</v>
      </c>
      <c r="G24" s="48"/>
      <c r="H24" s="47" t="s">
        <v>73</v>
      </c>
      <c r="I24" s="47" t="s">
        <v>74</v>
      </c>
      <c r="J24" s="47" t="s">
        <v>47</v>
      </c>
      <c r="K24" s="42" t="s">
        <v>713</v>
      </c>
    </row>
    <row r="25" spans="1:11" x14ac:dyDescent="0.35">
      <c r="A25" s="1" t="s">
        <v>1499</v>
      </c>
      <c r="B25" s="47" t="s">
        <v>1483</v>
      </c>
      <c r="C25" s="47" t="s">
        <v>1483</v>
      </c>
      <c r="D25" s="47" t="s">
        <v>1500</v>
      </c>
      <c r="E25" s="47" t="s">
        <v>44</v>
      </c>
      <c r="F25" s="48">
        <v>550</v>
      </c>
      <c r="G25" s="48"/>
      <c r="H25" s="47" t="s">
        <v>176</v>
      </c>
      <c r="I25" s="47" t="s">
        <v>59</v>
      </c>
      <c r="J25" s="47" t="s">
        <v>60</v>
      </c>
      <c r="K25" s="42" t="s">
        <v>713</v>
      </c>
    </row>
    <row r="26" spans="1:11" x14ac:dyDescent="0.35">
      <c r="A26" s="1" t="s">
        <v>1479</v>
      </c>
      <c r="B26" s="47" t="s">
        <v>1472</v>
      </c>
      <c r="C26" s="47" t="s">
        <v>1473</v>
      </c>
      <c r="D26" s="47" t="s">
        <v>1480</v>
      </c>
      <c r="E26" s="47" t="s">
        <v>44</v>
      </c>
      <c r="F26" s="48">
        <v>-78.75</v>
      </c>
      <c r="G26" s="48"/>
      <c r="H26" s="47" t="s">
        <v>73</v>
      </c>
      <c r="I26" s="47" t="s">
        <v>1481</v>
      </c>
      <c r="J26" s="47" t="s">
        <v>47</v>
      </c>
      <c r="K26" s="42" t="s">
        <v>713</v>
      </c>
    </row>
    <row r="27" spans="1:11" x14ac:dyDescent="0.35">
      <c r="A27" s="1" t="s">
        <v>1471</v>
      </c>
      <c r="B27" s="47" t="s">
        <v>1472</v>
      </c>
      <c r="C27" s="47" t="s">
        <v>1473</v>
      </c>
      <c r="D27" s="47" t="s">
        <v>1474</v>
      </c>
      <c r="E27" s="47" t="s">
        <v>44</v>
      </c>
      <c r="F27" s="48">
        <v>-15.3</v>
      </c>
      <c r="G27" s="48"/>
      <c r="H27" s="47" t="s">
        <v>45</v>
      </c>
      <c r="I27" s="47" t="s">
        <v>361</v>
      </c>
      <c r="J27" s="47" t="s">
        <v>47</v>
      </c>
      <c r="K27" s="42" t="s">
        <v>713</v>
      </c>
    </row>
    <row r="28" spans="1:11" x14ac:dyDescent="0.35">
      <c r="A28" s="1" t="s">
        <v>1476</v>
      </c>
      <c r="B28" s="47" t="s">
        <v>1472</v>
      </c>
      <c r="C28" s="47" t="s">
        <v>1473</v>
      </c>
      <c r="D28" s="47" t="s">
        <v>1412</v>
      </c>
      <c r="E28" s="47" t="s">
        <v>44</v>
      </c>
      <c r="F28" s="48">
        <v>-10.3</v>
      </c>
      <c r="G28" s="48"/>
      <c r="H28" s="47" t="s">
        <v>50</v>
      </c>
      <c r="I28" s="47" t="s">
        <v>15</v>
      </c>
      <c r="J28" s="47" t="s">
        <v>47</v>
      </c>
      <c r="K28" s="42" t="s">
        <v>713</v>
      </c>
    </row>
    <row r="29" spans="1:11" x14ac:dyDescent="0.35">
      <c r="A29" s="1" t="s">
        <v>1477</v>
      </c>
      <c r="B29" s="47" t="s">
        <v>1472</v>
      </c>
      <c r="C29" s="47" t="s">
        <v>1473</v>
      </c>
      <c r="D29" s="47" t="s">
        <v>1478</v>
      </c>
      <c r="E29" s="47" t="s">
        <v>44</v>
      </c>
      <c r="F29" s="48">
        <v>-10</v>
      </c>
      <c r="G29" s="48"/>
      <c r="H29" s="47" t="s">
        <v>90</v>
      </c>
      <c r="I29" s="47" t="s">
        <v>106</v>
      </c>
      <c r="J29" s="47" t="s">
        <v>47</v>
      </c>
      <c r="K29" s="42" t="s">
        <v>713</v>
      </c>
    </row>
    <row r="30" spans="1:11" x14ac:dyDescent="0.35">
      <c r="A30" s="1" t="s">
        <v>1475</v>
      </c>
      <c r="B30" s="47" t="s">
        <v>1472</v>
      </c>
      <c r="C30" s="47" t="s">
        <v>1473</v>
      </c>
      <c r="D30" s="47" t="s">
        <v>378</v>
      </c>
      <c r="E30" s="47" t="s">
        <v>44</v>
      </c>
      <c r="F30" s="48">
        <v>-9.26</v>
      </c>
      <c r="G30" s="48"/>
      <c r="H30" s="47" t="s">
        <v>50</v>
      </c>
      <c r="I30" s="47" t="s">
        <v>15</v>
      </c>
      <c r="J30" s="47" t="s">
        <v>47</v>
      </c>
      <c r="K30" s="42" t="s">
        <v>713</v>
      </c>
    </row>
    <row r="31" spans="1:11" x14ac:dyDescent="0.35">
      <c r="A31" s="1" t="s">
        <v>1469</v>
      </c>
      <c r="B31" s="47" t="s">
        <v>1470</v>
      </c>
      <c r="C31" s="47" t="s">
        <v>1461</v>
      </c>
      <c r="D31" s="47" t="s">
        <v>49</v>
      </c>
      <c r="E31" s="47" t="s">
        <v>44</v>
      </c>
      <c r="F31" s="48">
        <v>-52.7</v>
      </c>
      <c r="G31" s="48"/>
      <c r="H31" s="47" t="s">
        <v>50</v>
      </c>
      <c r="I31" s="47" t="s">
        <v>51</v>
      </c>
      <c r="J31" s="47" t="s">
        <v>47</v>
      </c>
      <c r="K31" s="42" t="s">
        <v>713</v>
      </c>
    </row>
    <row r="32" spans="1:11" x14ac:dyDescent="0.35">
      <c r="A32" s="1" t="s">
        <v>1468</v>
      </c>
      <c r="B32" s="47" t="s">
        <v>1466</v>
      </c>
      <c r="C32" s="47" t="s">
        <v>1461</v>
      </c>
      <c r="D32" s="47" t="s">
        <v>49</v>
      </c>
      <c r="E32" s="47" t="s">
        <v>44</v>
      </c>
      <c r="F32" s="48">
        <v>-102</v>
      </c>
      <c r="G32" s="48"/>
      <c r="H32" s="47" t="s">
        <v>50</v>
      </c>
      <c r="I32" s="47" t="s">
        <v>51</v>
      </c>
      <c r="J32" s="47" t="s">
        <v>47</v>
      </c>
      <c r="K32" s="42" t="s">
        <v>713</v>
      </c>
    </row>
    <row r="33" spans="1:11" x14ac:dyDescent="0.35">
      <c r="A33" s="1" t="s">
        <v>1465</v>
      </c>
      <c r="B33" s="47" t="s">
        <v>1466</v>
      </c>
      <c r="C33" s="47" t="s">
        <v>1461</v>
      </c>
      <c r="D33" s="47" t="s">
        <v>1467</v>
      </c>
      <c r="E33" s="47" t="s">
        <v>44</v>
      </c>
      <c r="F33" s="48">
        <v>-18.98</v>
      </c>
      <c r="G33" s="48"/>
      <c r="H33" s="47" t="s">
        <v>50</v>
      </c>
      <c r="I33" s="47" t="s">
        <v>165</v>
      </c>
      <c r="J33" s="47" t="s">
        <v>91</v>
      </c>
      <c r="K33" s="42" t="s">
        <v>713</v>
      </c>
    </row>
    <row r="34" spans="1:11" x14ac:dyDescent="0.35">
      <c r="A34" s="1" t="s">
        <v>1462</v>
      </c>
      <c r="B34" s="47" t="s">
        <v>1461</v>
      </c>
      <c r="C34" s="47" t="s">
        <v>1447</v>
      </c>
      <c r="D34" s="47" t="s">
        <v>544</v>
      </c>
      <c r="E34" s="47" t="s">
        <v>44</v>
      </c>
      <c r="F34" s="48">
        <v>-6.5</v>
      </c>
      <c r="G34" s="48"/>
      <c r="H34" s="47" t="s">
        <v>45</v>
      </c>
      <c r="I34" s="47" t="s">
        <v>361</v>
      </c>
      <c r="J34" s="47" t="s">
        <v>47</v>
      </c>
      <c r="K34" s="42" t="s">
        <v>713</v>
      </c>
    </row>
    <row r="35" spans="1:11" x14ac:dyDescent="0.35">
      <c r="A35" s="1" t="s">
        <v>1464</v>
      </c>
      <c r="B35" s="47" t="s">
        <v>1461</v>
      </c>
      <c r="C35" s="47" t="s">
        <v>1461</v>
      </c>
      <c r="D35" s="47" t="s">
        <v>731</v>
      </c>
      <c r="E35" s="47" t="s">
        <v>44</v>
      </c>
      <c r="F35" s="48">
        <v>-5.2</v>
      </c>
      <c r="G35" s="48"/>
      <c r="H35" s="47" t="s">
        <v>77</v>
      </c>
      <c r="I35" s="47" t="s">
        <v>78</v>
      </c>
      <c r="J35" s="47" t="s">
        <v>79</v>
      </c>
      <c r="K35" s="42" t="s">
        <v>713</v>
      </c>
    </row>
    <row r="36" spans="1:11" x14ac:dyDescent="0.35">
      <c r="A36" s="1" t="s">
        <v>1460</v>
      </c>
      <c r="B36" s="47" t="s">
        <v>1461</v>
      </c>
      <c r="C36" s="47" t="s">
        <v>1447</v>
      </c>
      <c r="D36" s="47" t="s">
        <v>72</v>
      </c>
      <c r="E36" s="47" t="s">
        <v>44</v>
      </c>
      <c r="F36" s="48">
        <v>-4.8</v>
      </c>
      <c r="G36" s="48"/>
      <c r="H36" s="47" t="s">
        <v>73</v>
      </c>
      <c r="I36" s="47" t="s">
        <v>74</v>
      </c>
      <c r="J36" s="47" t="s">
        <v>47</v>
      </c>
      <c r="K36" s="42" t="s">
        <v>713</v>
      </c>
    </row>
    <row r="37" spans="1:11" x14ac:dyDescent="0.35">
      <c r="A37" s="1" t="s">
        <v>1463</v>
      </c>
      <c r="B37" s="47" t="s">
        <v>1461</v>
      </c>
      <c r="C37" s="47" t="s">
        <v>1447</v>
      </c>
      <c r="D37" s="47" t="s">
        <v>815</v>
      </c>
      <c r="E37" s="47" t="s">
        <v>44</v>
      </c>
      <c r="F37" s="48">
        <v>-4.8</v>
      </c>
      <c r="G37" s="48"/>
      <c r="H37" s="47" t="s">
        <v>73</v>
      </c>
      <c r="I37" s="47" t="s">
        <v>74</v>
      </c>
      <c r="J37" s="47" t="s">
        <v>47</v>
      </c>
      <c r="K37" s="42" t="s">
        <v>713</v>
      </c>
    </row>
    <row r="38" spans="1:11" x14ac:dyDescent="0.35">
      <c r="A38" s="1" t="s">
        <v>1457</v>
      </c>
      <c r="B38" s="47" t="s">
        <v>1452</v>
      </c>
      <c r="C38" s="47" t="s">
        <v>1444</v>
      </c>
      <c r="D38" s="47" t="s">
        <v>1458</v>
      </c>
      <c r="E38" s="47" t="s">
        <v>44</v>
      </c>
      <c r="F38" s="48">
        <v>-129.55000000000001</v>
      </c>
      <c r="G38" s="48"/>
      <c r="H38" s="47" t="s">
        <v>50</v>
      </c>
      <c r="I38" s="47" t="s">
        <v>19</v>
      </c>
      <c r="J38" s="47" t="s">
        <v>47</v>
      </c>
      <c r="K38" s="42" t="s">
        <v>713</v>
      </c>
    </row>
    <row r="39" spans="1:11" x14ac:dyDescent="0.35">
      <c r="A39" s="1" t="s">
        <v>1451</v>
      </c>
      <c r="B39" s="47" t="s">
        <v>1452</v>
      </c>
      <c r="C39" s="47" t="s">
        <v>1444</v>
      </c>
      <c r="D39" s="47" t="s">
        <v>287</v>
      </c>
      <c r="E39" s="47" t="s">
        <v>44</v>
      </c>
      <c r="F39" s="48">
        <v>-47.3</v>
      </c>
      <c r="G39" s="48"/>
      <c r="H39" s="47" t="s">
        <v>251</v>
      </c>
      <c r="I39" s="47" t="s">
        <v>288</v>
      </c>
      <c r="J39" s="47" t="s">
        <v>47</v>
      </c>
      <c r="K39" s="42" t="s">
        <v>713</v>
      </c>
    </row>
    <row r="40" spans="1:11" x14ac:dyDescent="0.35">
      <c r="A40" s="1" t="s">
        <v>1459</v>
      </c>
      <c r="B40" s="47" t="s">
        <v>1452</v>
      </c>
      <c r="C40" s="47" t="s">
        <v>1444</v>
      </c>
      <c r="D40" s="47" t="s">
        <v>1308</v>
      </c>
      <c r="E40" s="47" t="s">
        <v>44</v>
      </c>
      <c r="F40" s="48">
        <v>-31.5</v>
      </c>
      <c r="G40" s="48"/>
      <c r="H40" s="47" t="s">
        <v>251</v>
      </c>
      <c r="I40" s="47" t="s">
        <v>252</v>
      </c>
      <c r="J40" s="47" t="s">
        <v>47</v>
      </c>
      <c r="K40" s="42" t="s">
        <v>713</v>
      </c>
    </row>
    <row r="41" spans="1:11" x14ac:dyDescent="0.35">
      <c r="A41" s="1" t="s">
        <v>1453</v>
      </c>
      <c r="B41" s="47" t="s">
        <v>1452</v>
      </c>
      <c r="C41" s="47" t="s">
        <v>1444</v>
      </c>
      <c r="D41" s="47" t="s">
        <v>1454</v>
      </c>
      <c r="E41" s="47" t="s">
        <v>44</v>
      </c>
      <c r="F41" s="48">
        <v>-29.85</v>
      </c>
      <c r="G41" s="48"/>
      <c r="H41" s="47" t="s">
        <v>50</v>
      </c>
      <c r="I41" s="47" t="s">
        <v>195</v>
      </c>
      <c r="J41" s="47" t="s">
        <v>47</v>
      </c>
      <c r="K41" s="42" t="s">
        <v>713</v>
      </c>
    </row>
    <row r="42" spans="1:11" x14ac:dyDescent="0.35">
      <c r="A42" s="1" t="s">
        <v>1455</v>
      </c>
      <c r="B42" s="47" t="s">
        <v>1452</v>
      </c>
      <c r="C42" s="47" t="s">
        <v>1444</v>
      </c>
      <c r="D42" s="47" t="s">
        <v>1456</v>
      </c>
      <c r="E42" s="47" t="s">
        <v>44</v>
      </c>
      <c r="F42" s="48">
        <v>-12</v>
      </c>
      <c r="G42" s="48"/>
      <c r="H42" s="47" t="s">
        <v>90</v>
      </c>
      <c r="I42" s="47" t="s">
        <v>78</v>
      </c>
      <c r="J42" s="47" t="s">
        <v>47</v>
      </c>
      <c r="K42" s="42" t="s">
        <v>713</v>
      </c>
    </row>
    <row r="43" spans="1:11" x14ac:dyDescent="0.35">
      <c r="A43" s="1" t="s">
        <v>1450</v>
      </c>
      <c r="B43" s="47" t="s">
        <v>1447</v>
      </c>
      <c r="C43" s="47" t="s">
        <v>1447</v>
      </c>
      <c r="D43" s="47" t="s">
        <v>96</v>
      </c>
      <c r="E43" s="47" t="s">
        <v>44</v>
      </c>
      <c r="F43" s="48">
        <v>-3000</v>
      </c>
      <c r="G43" s="48" t="s">
        <v>97</v>
      </c>
      <c r="H43" s="47" t="s">
        <v>77</v>
      </c>
      <c r="I43" s="47" t="s">
        <v>765</v>
      </c>
      <c r="J43" s="47" t="s">
        <v>60</v>
      </c>
      <c r="K43" s="42" t="s">
        <v>713</v>
      </c>
    </row>
    <row r="44" spans="1:11" x14ac:dyDescent="0.35">
      <c r="A44" s="1" t="s">
        <v>1446</v>
      </c>
      <c r="B44" s="47" t="s">
        <v>1447</v>
      </c>
      <c r="C44" s="47" t="s">
        <v>1434</v>
      </c>
      <c r="D44" s="47" t="s">
        <v>1448</v>
      </c>
      <c r="E44" s="47" t="s">
        <v>44</v>
      </c>
      <c r="F44" s="48">
        <v>-42</v>
      </c>
      <c r="G44" s="48"/>
      <c r="H44" s="47" t="s">
        <v>45</v>
      </c>
      <c r="I44" s="47" t="s">
        <v>46</v>
      </c>
      <c r="J44" s="47" t="s">
        <v>47</v>
      </c>
      <c r="K44" s="42" t="s">
        <v>713</v>
      </c>
    </row>
    <row r="45" spans="1:11" x14ac:dyDescent="0.35">
      <c r="A45" s="1" t="s">
        <v>1449</v>
      </c>
      <c r="B45" s="47" t="s">
        <v>1447</v>
      </c>
      <c r="C45" s="47" t="s">
        <v>1434</v>
      </c>
      <c r="D45" s="47" t="s">
        <v>63</v>
      </c>
      <c r="E45" s="47" t="s">
        <v>44</v>
      </c>
      <c r="F45" s="48">
        <v>-13.01</v>
      </c>
      <c r="G45" s="48"/>
      <c r="H45" s="47" t="s">
        <v>50</v>
      </c>
      <c r="I45" s="47" t="s">
        <v>15</v>
      </c>
      <c r="J45" s="47" t="s">
        <v>47</v>
      </c>
      <c r="K45" s="42" t="s">
        <v>713</v>
      </c>
    </row>
    <row r="46" spans="1:11" x14ac:dyDescent="0.35">
      <c r="A46" s="1" t="s">
        <v>1443</v>
      </c>
      <c r="B46" s="47" t="s">
        <v>1444</v>
      </c>
      <c r="C46" s="47" t="s">
        <v>1444</v>
      </c>
      <c r="D46" s="47" t="s">
        <v>1445</v>
      </c>
      <c r="E46" s="47" t="s">
        <v>44</v>
      </c>
      <c r="F46" s="48">
        <v>-125.86</v>
      </c>
      <c r="G46" s="48"/>
      <c r="H46" s="47" t="s">
        <v>136</v>
      </c>
      <c r="I46" s="47" t="s">
        <v>394</v>
      </c>
      <c r="J46" s="47" t="s">
        <v>1422</v>
      </c>
      <c r="K46" s="42" t="s">
        <v>713</v>
      </c>
    </row>
    <row r="47" spans="1:11" x14ac:dyDescent="0.35">
      <c r="A47" s="1" t="s">
        <v>1440</v>
      </c>
      <c r="B47" s="47" t="s">
        <v>1441</v>
      </c>
      <c r="C47" s="47" t="s">
        <v>1434</v>
      </c>
      <c r="D47" s="47" t="s">
        <v>1442</v>
      </c>
      <c r="E47" s="47" t="s">
        <v>44</v>
      </c>
      <c r="F47" s="48">
        <v>-3.71</v>
      </c>
      <c r="G47" s="48"/>
      <c r="H47" s="47" t="s">
        <v>50</v>
      </c>
      <c r="I47" s="47" t="s">
        <v>15</v>
      </c>
      <c r="J47" s="47" t="s">
        <v>47</v>
      </c>
      <c r="K47" s="42" t="s">
        <v>713</v>
      </c>
    </row>
    <row r="48" spans="1:11" x14ac:dyDescent="0.35">
      <c r="A48" s="1" t="s">
        <v>1436</v>
      </c>
      <c r="B48" s="47" t="s">
        <v>1437</v>
      </c>
      <c r="C48" s="47" t="s">
        <v>1432</v>
      </c>
      <c r="D48" s="47" t="s">
        <v>1438</v>
      </c>
      <c r="E48" s="47" t="s">
        <v>44</v>
      </c>
      <c r="F48" s="48">
        <v>-29.99</v>
      </c>
      <c r="G48" s="48"/>
      <c r="H48" s="47" t="s">
        <v>90</v>
      </c>
      <c r="I48" s="47" t="s">
        <v>106</v>
      </c>
      <c r="J48" s="47" t="s">
        <v>47</v>
      </c>
      <c r="K48" s="42" t="s">
        <v>713</v>
      </c>
    </row>
    <row r="49" spans="1:11" x14ac:dyDescent="0.35">
      <c r="A49" s="1" t="s">
        <v>1439</v>
      </c>
      <c r="B49" s="47" t="s">
        <v>1437</v>
      </c>
      <c r="C49" s="47" t="s">
        <v>1432</v>
      </c>
      <c r="D49" s="47" t="s">
        <v>857</v>
      </c>
      <c r="E49" s="47" t="s">
        <v>44</v>
      </c>
      <c r="F49" s="48">
        <v>-20</v>
      </c>
      <c r="G49" s="48"/>
      <c r="H49" s="47" t="s">
        <v>90</v>
      </c>
      <c r="I49" s="47" t="s">
        <v>106</v>
      </c>
      <c r="J49" s="47" t="s">
        <v>47</v>
      </c>
      <c r="K49" s="42" t="s">
        <v>713</v>
      </c>
    </row>
    <row r="50" spans="1:11" x14ac:dyDescent="0.35">
      <c r="A50" s="1" t="s">
        <v>1433</v>
      </c>
      <c r="B50" s="47" t="s">
        <v>1434</v>
      </c>
      <c r="C50" s="47" t="s">
        <v>1424</v>
      </c>
      <c r="D50" s="47" t="s">
        <v>556</v>
      </c>
      <c r="E50" s="47" t="s">
        <v>44</v>
      </c>
      <c r="F50" s="48">
        <v>-36.119999999999997</v>
      </c>
      <c r="G50" s="48"/>
      <c r="H50" s="47" t="s">
        <v>90</v>
      </c>
      <c r="I50" s="47" t="s">
        <v>106</v>
      </c>
      <c r="J50" s="47" t="s">
        <v>47</v>
      </c>
      <c r="K50" s="42" t="s">
        <v>713</v>
      </c>
    </row>
    <row r="51" spans="1:11" x14ac:dyDescent="0.35">
      <c r="A51" s="1" t="s">
        <v>1435</v>
      </c>
      <c r="B51" s="47" t="s">
        <v>1434</v>
      </c>
      <c r="C51" s="47" t="s">
        <v>1424</v>
      </c>
      <c r="D51" s="47" t="s">
        <v>226</v>
      </c>
      <c r="E51" s="47" t="s">
        <v>44</v>
      </c>
      <c r="F51" s="48">
        <v>-0.5</v>
      </c>
      <c r="G51" s="48"/>
      <c r="H51" s="47" t="s">
        <v>73</v>
      </c>
      <c r="I51" s="47" t="s">
        <v>112</v>
      </c>
      <c r="J51" s="47" t="s">
        <v>47</v>
      </c>
      <c r="K51" s="42" t="s">
        <v>713</v>
      </c>
    </row>
    <row r="52" spans="1:11" x14ac:dyDescent="0.35">
      <c r="A52" s="1" t="s">
        <v>1431</v>
      </c>
      <c r="B52" s="47" t="s">
        <v>1432</v>
      </c>
      <c r="C52" s="47" t="s">
        <v>1432</v>
      </c>
      <c r="D52" s="47" t="s">
        <v>731</v>
      </c>
      <c r="E52" s="47" t="s">
        <v>44</v>
      </c>
      <c r="F52" s="48">
        <v>-56.5</v>
      </c>
      <c r="G52" s="48"/>
      <c r="H52" s="47" t="s">
        <v>77</v>
      </c>
      <c r="I52" s="47" t="s">
        <v>78</v>
      </c>
      <c r="J52" s="47" t="s">
        <v>79</v>
      </c>
      <c r="K52" s="42" t="s">
        <v>713</v>
      </c>
    </row>
    <row r="53" spans="1:11" x14ac:dyDescent="0.35">
      <c r="A53" s="1" t="s">
        <v>1426</v>
      </c>
      <c r="B53" s="47" t="s">
        <v>1424</v>
      </c>
      <c r="C53" s="47" t="s">
        <v>1424</v>
      </c>
      <c r="D53" s="47" t="s">
        <v>96</v>
      </c>
      <c r="E53" s="47" t="s">
        <v>44</v>
      </c>
      <c r="F53" s="48">
        <v>-20000</v>
      </c>
      <c r="G53" s="48" t="s">
        <v>97</v>
      </c>
      <c r="H53" s="47" t="s">
        <v>77</v>
      </c>
      <c r="I53" s="47" t="s">
        <v>765</v>
      </c>
      <c r="J53" s="47" t="s">
        <v>60</v>
      </c>
      <c r="K53" s="42" t="s">
        <v>713</v>
      </c>
    </row>
    <row r="54" spans="1:11" x14ac:dyDescent="0.35">
      <c r="A54" s="1" t="s">
        <v>1423</v>
      </c>
      <c r="B54" s="47" t="s">
        <v>1424</v>
      </c>
      <c r="C54" s="47" t="s">
        <v>1424</v>
      </c>
      <c r="D54" s="47" t="s">
        <v>1425</v>
      </c>
      <c r="E54" s="47" t="s">
        <v>44</v>
      </c>
      <c r="F54" s="48">
        <v>-5000</v>
      </c>
      <c r="G54" s="48" t="s">
        <v>97</v>
      </c>
      <c r="H54" s="47" t="s">
        <v>98</v>
      </c>
      <c r="I54" s="47" t="s">
        <v>78</v>
      </c>
      <c r="J54" s="47" t="s">
        <v>60</v>
      </c>
      <c r="K54" s="42" t="s">
        <v>713</v>
      </c>
    </row>
    <row r="55" spans="1:11" x14ac:dyDescent="0.35">
      <c r="A55" s="1" t="s">
        <v>1429</v>
      </c>
      <c r="B55" s="47" t="s">
        <v>1424</v>
      </c>
      <c r="C55" s="47" t="s">
        <v>1411</v>
      </c>
      <c r="D55" s="47" t="s">
        <v>1430</v>
      </c>
      <c r="E55" s="47" t="s">
        <v>44</v>
      </c>
      <c r="F55" s="48">
        <v>-66.13</v>
      </c>
      <c r="G55" s="48"/>
      <c r="H55" s="47" t="s">
        <v>90</v>
      </c>
      <c r="I55" s="47" t="s">
        <v>78</v>
      </c>
      <c r="J55" s="47" t="s">
        <v>91</v>
      </c>
      <c r="K55" s="42" t="s">
        <v>713</v>
      </c>
    </row>
    <row r="56" spans="1:11" x14ac:dyDescent="0.35">
      <c r="A56" s="1" t="s">
        <v>1427</v>
      </c>
      <c r="B56" s="47" t="s">
        <v>1424</v>
      </c>
      <c r="C56" s="47" t="s">
        <v>1424</v>
      </c>
      <c r="D56" s="47" t="s">
        <v>1428</v>
      </c>
      <c r="E56" s="47" t="s">
        <v>44</v>
      </c>
      <c r="F56" s="48">
        <v>26139.66</v>
      </c>
      <c r="G56" s="48" t="s">
        <v>97</v>
      </c>
      <c r="H56" s="47" t="s">
        <v>101</v>
      </c>
      <c r="I56" s="47" t="s">
        <v>59</v>
      </c>
      <c r="J56" s="47" t="s">
        <v>60</v>
      </c>
      <c r="K56" s="42" t="s">
        <v>713</v>
      </c>
    </row>
    <row r="57" spans="1:11" x14ac:dyDescent="0.35">
      <c r="A57" s="1" t="s">
        <v>1420</v>
      </c>
      <c r="B57" s="47" t="s">
        <v>1419</v>
      </c>
      <c r="C57" s="47" t="s">
        <v>1419</v>
      </c>
      <c r="D57" s="47" t="s">
        <v>1421</v>
      </c>
      <c r="E57" s="47" t="s">
        <v>44</v>
      </c>
      <c r="F57" s="48">
        <v>-92</v>
      </c>
      <c r="G57" s="48"/>
      <c r="H57" s="47" t="s">
        <v>136</v>
      </c>
      <c r="I57" s="47" t="s">
        <v>394</v>
      </c>
      <c r="J57" s="47" t="s">
        <v>1422</v>
      </c>
      <c r="K57" s="42" t="s">
        <v>713</v>
      </c>
    </row>
    <row r="58" spans="1:11" x14ac:dyDescent="0.35">
      <c r="A58" s="1" t="s">
        <v>1418</v>
      </c>
      <c r="B58" s="47" t="s">
        <v>1419</v>
      </c>
      <c r="C58" s="47" t="s">
        <v>1411</v>
      </c>
      <c r="D58" s="47" t="s">
        <v>63</v>
      </c>
      <c r="E58" s="47" t="s">
        <v>44</v>
      </c>
      <c r="F58" s="48">
        <v>-24.87</v>
      </c>
      <c r="G58" s="48"/>
      <c r="H58" s="47" t="s">
        <v>50</v>
      </c>
      <c r="I58" s="47" t="s">
        <v>15</v>
      </c>
      <c r="J58" s="47" t="s">
        <v>47</v>
      </c>
      <c r="K58" s="42" t="s">
        <v>713</v>
      </c>
    </row>
    <row r="59" spans="1:11" x14ac:dyDescent="0.35">
      <c r="A59" s="1" t="s">
        <v>1409</v>
      </c>
      <c r="B59" s="47" t="s">
        <v>1410</v>
      </c>
      <c r="C59" s="47" t="s">
        <v>1411</v>
      </c>
      <c r="D59" s="47" t="s">
        <v>1412</v>
      </c>
      <c r="E59" s="47" t="s">
        <v>44</v>
      </c>
      <c r="F59" s="48">
        <v>-16</v>
      </c>
      <c r="G59" s="48"/>
      <c r="H59" s="47" t="s">
        <v>50</v>
      </c>
      <c r="I59" s="47" t="s">
        <v>15</v>
      </c>
      <c r="J59" s="47" t="s">
        <v>47</v>
      </c>
      <c r="K59" s="42" t="s">
        <v>713</v>
      </c>
    </row>
    <row r="60" spans="1:11" x14ac:dyDescent="0.35">
      <c r="A60" s="1" t="s">
        <v>1413</v>
      </c>
      <c r="B60" s="47" t="s">
        <v>1410</v>
      </c>
      <c r="C60" s="47" t="s">
        <v>1411</v>
      </c>
      <c r="D60" s="47" t="s">
        <v>707</v>
      </c>
      <c r="E60" s="47" t="s">
        <v>44</v>
      </c>
      <c r="F60" s="48">
        <v>-5.2</v>
      </c>
      <c r="G60" s="48"/>
      <c r="H60" s="47" t="s">
        <v>45</v>
      </c>
      <c r="I60" s="47" t="s">
        <v>361</v>
      </c>
      <c r="J60" s="47" t="s">
        <v>47</v>
      </c>
      <c r="K60" s="42" t="s">
        <v>713</v>
      </c>
    </row>
    <row r="61" spans="1:11" x14ac:dyDescent="0.35">
      <c r="A61" s="1" t="s">
        <v>1414</v>
      </c>
      <c r="B61" s="47" t="s">
        <v>1410</v>
      </c>
      <c r="C61" s="47" t="s">
        <v>1410</v>
      </c>
      <c r="D61" s="47" t="s">
        <v>1415</v>
      </c>
      <c r="E61" s="47" t="s">
        <v>44</v>
      </c>
      <c r="F61" s="48">
        <v>38.29</v>
      </c>
      <c r="G61" s="48"/>
      <c r="H61" s="47" t="s">
        <v>101</v>
      </c>
      <c r="I61" s="47" t="s">
        <v>59</v>
      </c>
      <c r="J61" s="47" t="s">
        <v>60</v>
      </c>
      <c r="K61" s="42" t="s">
        <v>713</v>
      </c>
    </row>
    <row r="62" spans="1:11" x14ac:dyDescent="0.35">
      <c r="A62" s="1" t="s">
        <v>1416</v>
      </c>
      <c r="B62" s="47" t="s">
        <v>1410</v>
      </c>
      <c r="C62" s="47" t="s">
        <v>1410</v>
      </c>
      <c r="D62" s="47" t="s">
        <v>1417</v>
      </c>
      <c r="E62" s="47" t="s">
        <v>44</v>
      </c>
      <c r="F62" s="48">
        <v>64.97</v>
      </c>
      <c r="G62" s="48"/>
      <c r="H62" s="47" t="s">
        <v>101</v>
      </c>
      <c r="I62" s="47" t="s">
        <v>59</v>
      </c>
      <c r="J62" s="47" t="s">
        <v>60</v>
      </c>
      <c r="K62" s="42" t="s">
        <v>713</v>
      </c>
    </row>
    <row r="63" spans="1:11" x14ac:dyDescent="0.35">
      <c r="A63" s="1" t="s">
        <v>1407</v>
      </c>
      <c r="B63" s="47" t="s">
        <v>1408</v>
      </c>
      <c r="C63" s="47" t="s">
        <v>1404</v>
      </c>
      <c r="D63" s="47" t="s">
        <v>63</v>
      </c>
      <c r="E63" s="47" t="s">
        <v>44</v>
      </c>
      <c r="F63" s="48">
        <v>-2.39</v>
      </c>
      <c r="G63" s="48"/>
      <c r="H63" s="47" t="s">
        <v>50</v>
      </c>
      <c r="I63" s="47" t="s">
        <v>15</v>
      </c>
      <c r="J63" s="47" t="s">
        <v>47</v>
      </c>
      <c r="K63" s="42" t="s">
        <v>713</v>
      </c>
    </row>
    <row r="64" spans="1:11" x14ac:dyDescent="0.35">
      <c r="A64" s="1" t="s">
        <v>1405</v>
      </c>
      <c r="B64" s="47" t="s">
        <v>1406</v>
      </c>
      <c r="C64" s="47" t="s">
        <v>1404</v>
      </c>
      <c r="D64" s="47" t="s">
        <v>63</v>
      </c>
      <c r="E64" s="47" t="s">
        <v>44</v>
      </c>
      <c r="F64" s="48">
        <v>-6.18</v>
      </c>
      <c r="G64" s="48"/>
      <c r="H64" s="47" t="s">
        <v>50</v>
      </c>
      <c r="I64" s="47" t="s">
        <v>15</v>
      </c>
      <c r="J64" s="47" t="s">
        <v>47</v>
      </c>
      <c r="K64" s="42" t="s">
        <v>713</v>
      </c>
    </row>
    <row r="65" spans="1:11" x14ac:dyDescent="0.35">
      <c r="A65" s="1" t="s">
        <v>1403</v>
      </c>
      <c r="B65" s="47" t="s">
        <v>1404</v>
      </c>
      <c r="C65" s="47" t="s">
        <v>1391</v>
      </c>
      <c r="D65" s="47" t="s">
        <v>121</v>
      </c>
      <c r="E65" s="47" t="s">
        <v>44</v>
      </c>
      <c r="F65" s="48">
        <v>-28.69</v>
      </c>
      <c r="G65" s="48"/>
      <c r="H65" s="47" t="s">
        <v>50</v>
      </c>
      <c r="I65" s="47" t="s">
        <v>15</v>
      </c>
      <c r="J65" s="47" t="s">
        <v>47</v>
      </c>
      <c r="K65" s="42" t="s">
        <v>713</v>
      </c>
    </row>
    <row r="66" spans="1:11" x14ac:dyDescent="0.35">
      <c r="A66" s="1" t="s">
        <v>1398</v>
      </c>
      <c r="B66" s="47" t="s">
        <v>1399</v>
      </c>
      <c r="C66" s="47" t="s">
        <v>1387</v>
      </c>
      <c r="D66" s="47" t="s">
        <v>72</v>
      </c>
      <c r="E66" s="47" t="s">
        <v>44</v>
      </c>
      <c r="F66" s="48">
        <v>-4.8</v>
      </c>
      <c r="G66" s="48"/>
      <c r="H66" s="47" t="s">
        <v>73</v>
      </c>
      <c r="I66" s="47" t="s">
        <v>74</v>
      </c>
      <c r="J66" s="47" t="s">
        <v>47</v>
      </c>
      <c r="K66" s="42" t="s">
        <v>713</v>
      </c>
    </row>
    <row r="67" spans="1:11" x14ac:dyDescent="0.35">
      <c r="A67" s="1" t="s">
        <v>1402</v>
      </c>
      <c r="B67" s="47" t="s">
        <v>1399</v>
      </c>
      <c r="C67" s="47" t="s">
        <v>1387</v>
      </c>
      <c r="D67" s="47" t="s">
        <v>815</v>
      </c>
      <c r="E67" s="47" t="s">
        <v>44</v>
      </c>
      <c r="F67" s="48">
        <v>-4.8</v>
      </c>
      <c r="G67" s="48"/>
      <c r="H67" s="47" t="s">
        <v>73</v>
      </c>
      <c r="I67" s="47" t="s">
        <v>74</v>
      </c>
      <c r="J67" s="47" t="s">
        <v>47</v>
      </c>
      <c r="K67" s="42" t="s">
        <v>713</v>
      </c>
    </row>
    <row r="68" spans="1:11" x14ac:dyDescent="0.35">
      <c r="A68" s="1" t="s">
        <v>1400</v>
      </c>
      <c r="B68" s="47" t="s">
        <v>1399</v>
      </c>
      <c r="C68" s="47" t="s">
        <v>1387</v>
      </c>
      <c r="D68" s="47" t="s">
        <v>1401</v>
      </c>
      <c r="E68" s="47" t="s">
        <v>44</v>
      </c>
      <c r="F68" s="48">
        <v>-4</v>
      </c>
      <c r="G68" s="48"/>
      <c r="H68" s="47" t="s">
        <v>73</v>
      </c>
      <c r="I68" s="47" t="s">
        <v>78</v>
      </c>
      <c r="J68" s="47" t="s">
        <v>47</v>
      </c>
      <c r="K68" s="42" t="s">
        <v>713</v>
      </c>
    </row>
    <row r="69" spans="1:11" x14ac:dyDescent="0.35">
      <c r="A69" s="1" t="s">
        <v>1396</v>
      </c>
      <c r="B69" s="47" t="s">
        <v>1391</v>
      </c>
      <c r="C69" s="47" t="s">
        <v>1392</v>
      </c>
      <c r="D69" s="47" t="s">
        <v>86</v>
      </c>
      <c r="E69" s="47" t="s">
        <v>44</v>
      </c>
      <c r="F69" s="48">
        <v>-51.5</v>
      </c>
      <c r="G69" s="48"/>
      <c r="H69" s="47" t="s">
        <v>50</v>
      </c>
      <c r="I69" s="47" t="s">
        <v>15</v>
      </c>
      <c r="J69" s="47" t="s">
        <v>47</v>
      </c>
      <c r="K69" s="42" t="s">
        <v>713</v>
      </c>
    </row>
    <row r="70" spans="1:11" x14ac:dyDescent="0.35">
      <c r="A70" s="1" t="s">
        <v>1390</v>
      </c>
      <c r="B70" s="47" t="s">
        <v>1391</v>
      </c>
      <c r="C70" s="47" t="s">
        <v>1392</v>
      </c>
      <c r="D70" s="47" t="s">
        <v>1393</v>
      </c>
      <c r="E70" s="47" t="s">
        <v>44</v>
      </c>
      <c r="F70" s="48">
        <v>-38</v>
      </c>
      <c r="G70" s="48"/>
      <c r="H70" s="47" t="s">
        <v>45</v>
      </c>
      <c r="I70" s="47" t="s">
        <v>46</v>
      </c>
      <c r="J70" s="47" t="s">
        <v>47</v>
      </c>
      <c r="K70" s="42" t="s">
        <v>713</v>
      </c>
    </row>
    <row r="71" spans="1:11" x14ac:dyDescent="0.35">
      <c r="A71" s="1" t="s">
        <v>1394</v>
      </c>
      <c r="B71" s="47" t="s">
        <v>1391</v>
      </c>
      <c r="C71" s="47" t="s">
        <v>1392</v>
      </c>
      <c r="D71" s="47" t="s">
        <v>1395</v>
      </c>
      <c r="E71" s="47" t="s">
        <v>44</v>
      </c>
      <c r="F71" s="48">
        <v>-20.010000000000002</v>
      </c>
      <c r="G71" s="48"/>
      <c r="H71" s="47" t="s">
        <v>45</v>
      </c>
      <c r="I71" s="47" t="s">
        <v>46</v>
      </c>
      <c r="J71" s="47" t="s">
        <v>47</v>
      </c>
      <c r="K71" s="42" t="s">
        <v>713</v>
      </c>
    </row>
    <row r="72" spans="1:11" x14ac:dyDescent="0.35">
      <c r="A72" s="1" t="s">
        <v>1397</v>
      </c>
      <c r="B72" s="47" t="s">
        <v>1391</v>
      </c>
      <c r="C72" s="47" t="s">
        <v>1391</v>
      </c>
      <c r="D72" s="47" t="s">
        <v>211</v>
      </c>
      <c r="E72" s="47" t="s">
        <v>44</v>
      </c>
      <c r="F72" s="48">
        <v>2728.87</v>
      </c>
      <c r="G72" s="48"/>
      <c r="H72" s="47" t="s">
        <v>58</v>
      </c>
      <c r="I72" s="47" t="s">
        <v>59</v>
      </c>
      <c r="J72" s="47" t="s">
        <v>60</v>
      </c>
      <c r="K72" s="42" t="s">
        <v>713</v>
      </c>
    </row>
    <row r="73" spans="1:11" x14ac:dyDescent="0.35">
      <c r="A73" s="1" t="s">
        <v>1386</v>
      </c>
      <c r="B73" s="47" t="s">
        <v>1387</v>
      </c>
      <c r="C73" s="47" t="s">
        <v>59</v>
      </c>
      <c r="D73" s="47" t="s">
        <v>1388</v>
      </c>
      <c r="E73" s="47" t="s">
        <v>44</v>
      </c>
      <c r="F73" s="48">
        <v>-132.97999999999999</v>
      </c>
      <c r="G73" s="48"/>
      <c r="H73" s="47" t="s">
        <v>90</v>
      </c>
      <c r="I73" s="47" t="s">
        <v>78</v>
      </c>
      <c r="J73" s="47" t="s">
        <v>91</v>
      </c>
      <c r="K73" s="42" t="s">
        <v>713</v>
      </c>
    </row>
    <row r="74" spans="1:11" x14ac:dyDescent="0.35">
      <c r="A74" s="6" t="s">
        <v>1389</v>
      </c>
      <c r="B74" s="7" t="s">
        <v>1387</v>
      </c>
      <c r="C74" s="7" t="s">
        <v>1387</v>
      </c>
      <c r="D74" s="7" t="s">
        <v>57</v>
      </c>
      <c r="E74" s="7" t="s">
        <v>44</v>
      </c>
      <c r="F74" s="10">
        <v>695.26</v>
      </c>
      <c r="G74" s="10"/>
      <c r="H74" s="7" t="s">
        <v>58</v>
      </c>
      <c r="I74" s="7" t="s">
        <v>59</v>
      </c>
      <c r="J74" s="7" t="s">
        <v>60</v>
      </c>
      <c r="K74" s="43" t="s">
        <v>713</v>
      </c>
    </row>
    <row r="75" spans="1:11" x14ac:dyDescent="0.35">
      <c r="A75" s="6" t="s">
        <v>1383</v>
      </c>
      <c r="B75" s="7" t="s">
        <v>1384</v>
      </c>
      <c r="C75" s="7" t="s">
        <v>59</v>
      </c>
      <c r="D75" s="7" t="s">
        <v>1385</v>
      </c>
      <c r="E75" s="7" t="s">
        <v>44</v>
      </c>
      <c r="F75" s="10">
        <v>-49.22</v>
      </c>
      <c r="G75" s="10"/>
      <c r="H75" s="7" t="s">
        <v>50</v>
      </c>
      <c r="I75" s="7" t="s">
        <v>15</v>
      </c>
      <c r="J75" s="7" t="s">
        <v>47</v>
      </c>
      <c r="K75" s="43" t="s">
        <v>713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6AC0-CC5E-4770-89FC-12FE632CAC97}">
  <dimension ref="A1:B41"/>
  <sheetViews>
    <sheetView workbookViewId="0">
      <selection activeCell="A16" sqref="A16"/>
    </sheetView>
  </sheetViews>
  <sheetFormatPr defaultRowHeight="12.75" x14ac:dyDescent="0.35"/>
  <cols>
    <col min="1" max="1" width="31.0664062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45</v>
      </c>
      <c r="B6" s="12">
        <v>-152.80000000000001</v>
      </c>
    </row>
    <row r="7" spans="1:2" x14ac:dyDescent="0.35">
      <c r="A7" s="28" t="s">
        <v>361</v>
      </c>
      <c r="B7" s="12">
        <v>-40</v>
      </c>
    </row>
    <row r="8" spans="1:2" x14ac:dyDescent="0.35">
      <c r="A8" s="28" t="s">
        <v>46</v>
      </c>
      <c r="B8" s="12">
        <v>-112.8</v>
      </c>
    </row>
    <row r="9" spans="1:2" x14ac:dyDescent="0.35">
      <c r="A9" s="14" t="s">
        <v>50</v>
      </c>
      <c r="B9" s="12">
        <v>-647.07999999999993</v>
      </c>
    </row>
    <row r="10" spans="1:2" x14ac:dyDescent="0.35">
      <c r="A10" s="28" t="s">
        <v>165</v>
      </c>
      <c r="B10" s="12">
        <v>-18.98</v>
      </c>
    </row>
    <row r="11" spans="1:2" x14ac:dyDescent="0.35">
      <c r="A11" s="28" t="s">
        <v>15</v>
      </c>
      <c r="B11" s="12">
        <v>-240.10999999999999</v>
      </c>
    </row>
    <row r="12" spans="1:2" x14ac:dyDescent="0.35">
      <c r="A12" s="28" t="s">
        <v>19</v>
      </c>
      <c r="B12" s="12">
        <v>-129.55000000000001</v>
      </c>
    </row>
    <row r="13" spans="1:2" x14ac:dyDescent="0.35">
      <c r="A13" s="28" t="s">
        <v>195</v>
      </c>
      <c r="B13" s="12">
        <v>-103.74000000000001</v>
      </c>
    </row>
    <row r="14" spans="1:2" x14ac:dyDescent="0.35">
      <c r="A14" s="28" t="s">
        <v>51</v>
      </c>
      <c r="B14" s="12">
        <v>-154.69999999999999</v>
      </c>
    </row>
    <row r="15" spans="1:2" x14ac:dyDescent="0.35">
      <c r="A15" s="14" t="s">
        <v>101</v>
      </c>
      <c r="B15" s="12">
        <v>103.25999999999999</v>
      </c>
    </row>
    <row r="16" spans="1:2" x14ac:dyDescent="0.35">
      <c r="A16" s="28" t="s">
        <v>59</v>
      </c>
      <c r="B16" s="12">
        <v>103.25999999999999</v>
      </c>
    </row>
    <row r="17" spans="1:2" x14ac:dyDescent="0.35">
      <c r="A17" s="14" t="s">
        <v>58</v>
      </c>
      <c r="B17" s="12">
        <v>3424.13</v>
      </c>
    </row>
    <row r="18" spans="1:2" x14ac:dyDescent="0.35">
      <c r="A18" s="28" t="s">
        <v>59</v>
      </c>
      <c r="B18" s="12">
        <v>3424.13</v>
      </c>
    </row>
    <row r="19" spans="1:2" x14ac:dyDescent="0.35">
      <c r="A19" s="14" t="s">
        <v>251</v>
      </c>
      <c r="B19" s="12">
        <v>-118.5</v>
      </c>
    </row>
    <row r="20" spans="1:2" x14ac:dyDescent="0.35">
      <c r="A20" s="28" t="s">
        <v>252</v>
      </c>
      <c r="B20" s="12">
        <v>-31.5</v>
      </c>
    </row>
    <row r="21" spans="1:2" x14ac:dyDescent="0.35">
      <c r="A21" s="28" t="s">
        <v>288</v>
      </c>
      <c r="B21" s="12">
        <v>-87</v>
      </c>
    </row>
    <row r="22" spans="1:2" x14ac:dyDescent="0.35">
      <c r="A22" s="14" t="s">
        <v>90</v>
      </c>
      <c r="B22" s="12">
        <v>-490.67999999999995</v>
      </c>
    </row>
    <row r="23" spans="1:2" x14ac:dyDescent="0.35">
      <c r="A23" s="28" t="s">
        <v>106</v>
      </c>
      <c r="B23" s="12">
        <v>-201.03</v>
      </c>
    </row>
    <row r="24" spans="1:2" x14ac:dyDescent="0.35">
      <c r="A24" s="28" t="s">
        <v>539</v>
      </c>
      <c r="B24" s="12">
        <v>-39.99</v>
      </c>
    </row>
    <row r="25" spans="1:2" x14ac:dyDescent="0.35">
      <c r="A25" s="28" t="s">
        <v>590</v>
      </c>
      <c r="B25" s="12">
        <v>-32.979999999999997</v>
      </c>
    </row>
    <row r="26" spans="1:2" x14ac:dyDescent="0.35">
      <c r="A26" s="28" t="s">
        <v>78</v>
      </c>
      <c r="B26" s="12">
        <v>-216.67999999999998</v>
      </c>
    </row>
    <row r="27" spans="1:2" x14ac:dyDescent="0.35">
      <c r="A27" s="14" t="s">
        <v>136</v>
      </c>
      <c r="B27" s="12">
        <v>-217.86</v>
      </c>
    </row>
    <row r="28" spans="1:2" x14ac:dyDescent="0.35">
      <c r="A28" s="28" t="s">
        <v>394</v>
      </c>
      <c r="B28" s="12">
        <v>-217.86</v>
      </c>
    </row>
    <row r="29" spans="1:2" x14ac:dyDescent="0.35">
      <c r="A29" s="14" t="s">
        <v>77</v>
      </c>
      <c r="B29" s="12">
        <v>-120.58</v>
      </c>
    </row>
    <row r="30" spans="1:2" x14ac:dyDescent="0.35">
      <c r="A30" s="28" t="s">
        <v>200</v>
      </c>
      <c r="B30" s="12">
        <v>-30</v>
      </c>
    </row>
    <row r="31" spans="1:2" x14ac:dyDescent="0.35">
      <c r="A31" s="28" t="s">
        <v>78</v>
      </c>
      <c r="B31" s="12">
        <v>-90.58</v>
      </c>
    </row>
    <row r="32" spans="1:2" x14ac:dyDescent="0.35">
      <c r="A32" s="14" t="s">
        <v>73</v>
      </c>
      <c r="B32" s="12">
        <v>-142.05000000000001</v>
      </c>
    </row>
    <row r="33" spans="1:2" x14ac:dyDescent="0.35">
      <c r="A33" s="28" t="s">
        <v>309</v>
      </c>
      <c r="B33" s="12">
        <v>-6</v>
      </c>
    </row>
    <row r="34" spans="1:2" x14ac:dyDescent="0.35">
      <c r="A34" s="28" t="s">
        <v>897</v>
      </c>
      <c r="B34" s="12">
        <v>-24</v>
      </c>
    </row>
    <row r="35" spans="1:2" x14ac:dyDescent="0.35">
      <c r="A35" s="28" t="s">
        <v>1481</v>
      </c>
      <c r="B35" s="12">
        <v>-78.75</v>
      </c>
    </row>
    <row r="36" spans="1:2" x14ac:dyDescent="0.35">
      <c r="A36" s="28" t="s">
        <v>112</v>
      </c>
      <c r="B36" s="12">
        <v>-0.5</v>
      </c>
    </row>
    <row r="37" spans="1:2" x14ac:dyDescent="0.35">
      <c r="A37" s="28" t="s">
        <v>74</v>
      </c>
      <c r="B37" s="12">
        <v>-28.8</v>
      </c>
    </row>
    <row r="38" spans="1:2" x14ac:dyDescent="0.35">
      <c r="A38" s="28" t="s">
        <v>78</v>
      </c>
      <c r="B38" s="12">
        <v>-4</v>
      </c>
    </row>
    <row r="39" spans="1:2" x14ac:dyDescent="0.35">
      <c r="A39" s="14" t="s">
        <v>1698</v>
      </c>
      <c r="B39" s="12">
        <v>-881.2</v>
      </c>
    </row>
    <row r="40" spans="1:2" x14ac:dyDescent="0.35">
      <c r="A40" s="28" t="s">
        <v>205</v>
      </c>
      <c r="B40" s="12">
        <v>-881.2</v>
      </c>
    </row>
    <row r="41" spans="1:2" x14ac:dyDescent="0.35">
      <c r="A41" s="14" t="s">
        <v>208</v>
      </c>
      <c r="B41" s="12">
        <v>1306.6400000000001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C8AA-3800-4D5B-BCC6-AE4120037544}">
  <dimension ref="A1:K66"/>
  <sheetViews>
    <sheetView topLeftCell="A18" workbookViewId="0">
      <selection activeCell="F63" sqref="D63:F65"/>
    </sheetView>
  </sheetViews>
  <sheetFormatPr defaultRowHeight="12.75" x14ac:dyDescent="0.35"/>
  <cols>
    <col min="1" max="1" width="20.59765625" customWidth="1"/>
    <col min="2" max="2" width="16.796875" customWidth="1"/>
    <col min="3" max="3" width="12.33203125" customWidth="1"/>
    <col min="4" max="4" width="62.1328125" customWidth="1"/>
    <col min="6" max="6" width="9.59765625" customWidth="1"/>
    <col min="7" max="7" width="9.1328125" customWidth="1"/>
    <col min="8" max="8" width="11.06640625" customWidth="1"/>
    <col min="9" max="9" width="15.3984375" customWidth="1"/>
    <col min="10" max="10" width="10.265625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410</v>
      </c>
      <c r="H1" s="4" t="s">
        <v>38</v>
      </c>
      <c r="I1" s="4" t="s">
        <v>39</v>
      </c>
      <c r="J1" s="4" t="s">
        <v>40</v>
      </c>
      <c r="K1" s="5" t="s">
        <v>708</v>
      </c>
    </row>
    <row r="2" spans="1:11" x14ac:dyDescent="0.35">
      <c r="A2" s="1" t="s">
        <v>1637</v>
      </c>
      <c r="B2" s="47" t="s">
        <v>1392</v>
      </c>
      <c r="C2" s="47" t="s">
        <v>1392</v>
      </c>
      <c r="D2" s="47" t="s">
        <v>1638</v>
      </c>
      <c r="E2" s="47" t="s">
        <v>44</v>
      </c>
      <c r="F2" s="48">
        <v>-881.2</v>
      </c>
      <c r="G2" s="48"/>
      <c r="H2" s="17" t="s">
        <v>1698</v>
      </c>
      <c r="I2" s="17" t="s">
        <v>205</v>
      </c>
      <c r="J2" s="47" t="s">
        <v>79</v>
      </c>
      <c r="K2" s="42" t="s">
        <v>713</v>
      </c>
    </row>
    <row r="3" spans="1:11" x14ac:dyDescent="0.35">
      <c r="A3" s="1" t="s">
        <v>1634</v>
      </c>
      <c r="B3" s="47" t="s">
        <v>1635</v>
      </c>
      <c r="C3" s="47" t="s">
        <v>1635</v>
      </c>
      <c r="D3" s="47" t="s">
        <v>1636</v>
      </c>
      <c r="E3" s="47" t="s">
        <v>44</v>
      </c>
      <c r="F3" s="48">
        <v>550</v>
      </c>
      <c r="G3" s="48"/>
      <c r="H3" s="47" t="s">
        <v>176</v>
      </c>
      <c r="I3" s="47" t="s">
        <v>59</v>
      </c>
      <c r="J3" s="47" t="s">
        <v>60</v>
      </c>
      <c r="K3" s="42" t="s">
        <v>713</v>
      </c>
    </row>
    <row r="4" spans="1:11" x14ac:dyDescent="0.35">
      <c r="A4" s="1" t="s">
        <v>1632</v>
      </c>
      <c r="B4" s="47" t="s">
        <v>1633</v>
      </c>
      <c r="C4" s="47" t="s">
        <v>1609</v>
      </c>
      <c r="D4" s="47" t="s">
        <v>507</v>
      </c>
      <c r="E4" s="47" t="s">
        <v>44</v>
      </c>
      <c r="F4" s="48">
        <v>-11.9</v>
      </c>
      <c r="G4" s="48"/>
      <c r="H4" s="47" t="s">
        <v>45</v>
      </c>
      <c r="I4" s="47" t="s">
        <v>361</v>
      </c>
      <c r="J4" s="47" t="s">
        <v>47</v>
      </c>
      <c r="K4" s="42" t="s">
        <v>713</v>
      </c>
    </row>
    <row r="5" spans="1:11" x14ac:dyDescent="0.35">
      <c r="A5" s="1" t="s">
        <v>1630</v>
      </c>
      <c r="B5" s="47" t="s">
        <v>1628</v>
      </c>
      <c r="C5" s="47" t="s">
        <v>1628</v>
      </c>
      <c r="D5" s="47" t="s">
        <v>96</v>
      </c>
      <c r="E5" s="47" t="s">
        <v>44</v>
      </c>
      <c r="F5" s="48">
        <v>-3000</v>
      </c>
      <c r="G5" s="48" t="s">
        <v>97</v>
      </c>
      <c r="H5" s="47" t="s">
        <v>77</v>
      </c>
      <c r="I5" s="47" t="s">
        <v>765</v>
      </c>
      <c r="J5" s="47" t="s">
        <v>60</v>
      </c>
      <c r="K5" s="42" t="s">
        <v>713</v>
      </c>
    </row>
    <row r="6" spans="1:11" x14ac:dyDescent="0.35">
      <c r="A6" s="1" t="s">
        <v>1627</v>
      </c>
      <c r="B6" s="47" t="s">
        <v>1628</v>
      </c>
      <c r="C6" s="47" t="s">
        <v>1609</v>
      </c>
      <c r="D6" s="47" t="s">
        <v>86</v>
      </c>
      <c r="E6" s="47" t="s">
        <v>44</v>
      </c>
      <c r="F6" s="48">
        <v>-85.2</v>
      </c>
      <c r="G6" s="48"/>
      <c r="H6" s="47" t="s">
        <v>50</v>
      </c>
      <c r="I6" s="47" t="s">
        <v>19</v>
      </c>
      <c r="J6" s="47" t="s">
        <v>47</v>
      </c>
      <c r="K6" s="42" t="s">
        <v>713</v>
      </c>
    </row>
    <row r="7" spans="1:11" x14ac:dyDescent="0.35">
      <c r="A7" s="1" t="s">
        <v>1629</v>
      </c>
      <c r="B7" s="47" t="s">
        <v>1628</v>
      </c>
      <c r="C7" s="47" t="s">
        <v>1609</v>
      </c>
      <c r="D7" s="47" t="s">
        <v>556</v>
      </c>
      <c r="E7" s="47" t="s">
        <v>44</v>
      </c>
      <c r="F7" s="48">
        <v>-31.98</v>
      </c>
      <c r="G7" s="48"/>
      <c r="H7" s="47" t="s">
        <v>90</v>
      </c>
      <c r="I7" s="47" t="s">
        <v>106</v>
      </c>
      <c r="J7" s="47" t="s">
        <v>47</v>
      </c>
      <c r="K7" s="42" t="s">
        <v>713</v>
      </c>
    </row>
    <row r="8" spans="1:11" x14ac:dyDescent="0.35">
      <c r="A8" s="1" t="s">
        <v>1631</v>
      </c>
      <c r="B8" s="47" t="s">
        <v>1628</v>
      </c>
      <c r="C8" s="47" t="s">
        <v>1609</v>
      </c>
      <c r="D8" s="47" t="s">
        <v>682</v>
      </c>
      <c r="E8" s="47" t="s">
        <v>44</v>
      </c>
      <c r="F8" s="48">
        <v>-15.65</v>
      </c>
      <c r="G8" s="48"/>
      <c r="H8" s="47" t="s">
        <v>50</v>
      </c>
      <c r="I8" s="47" t="s">
        <v>15</v>
      </c>
      <c r="J8" s="47" t="s">
        <v>47</v>
      </c>
      <c r="K8" s="42" t="s">
        <v>713</v>
      </c>
    </row>
    <row r="9" spans="1:11" x14ac:dyDescent="0.35">
      <c r="A9" s="1" t="s">
        <v>1625</v>
      </c>
      <c r="B9" s="47" t="s">
        <v>1626</v>
      </c>
      <c r="C9" s="47" t="s">
        <v>1609</v>
      </c>
      <c r="D9" s="47" t="s">
        <v>63</v>
      </c>
      <c r="E9" s="47" t="s">
        <v>44</v>
      </c>
      <c r="F9" s="48">
        <v>-47.8</v>
      </c>
      <c r="G9" s="48"/>
      <c r="H9" s="47" t="s">
        <v>50</v>
      </c>
      <c r="I9" s="47" t="s">
        <v>15</v>
      </c>
      <c r="J9" s="47" t="s">
        <v>47</v>
      </c>
      <c r="K9" s="42" t="s">
        <v>713</v>
      </c>
    </row>
    <row r="10" spans="1:11" x14ac:dyDescent="0.35">
      <c r="A10" s="1" t="s">
        <v>1622</v>
      </c>
      <c r="B10" s="47" t="s">
        <v>1623</v>
      </c>
      <c r="C10" s="47" t="s">
        <v>1609</v>
      </c>
      <c r="D10" s="47" t="s">
        <v>1624</v>
      </c>
      <c r="E10" s="47" t="s">
        <v>44</v>
      </c>
      <c r="F10" s="48">
        <v>-50</v>
      </c>
      <c r="G10" s="48"/>
      <c r="H10" s="47" t="s">
        <v>50</v>
      </c>
      <c r="I10" s="47" t="s">
        <v>920</v>
      </c>
      <c r="J10" s="47" t="s">
        <v>91</v>
      </c>
      <c r="K10" s="42" t="s">
        <v>713</v>
      </c>
    </row>
    <row r="11" spans="1:11" x14ac:dyDescent="0.35">
      <c r="A11" s="1" t="s">
        <v>1614</v>
      </c>
      <c r="B11" s="47" t="s">
        <v>1611</v>
      </c>
      <c r="C11" s="47" t="s">
        <v>1605</v>
      </c>
      <c r="D11" s="47" t="s">
        <v>1615</v>
      </c>
      <c r="E11" s="47" t="s">
        <v>44</v>
      </c>
      <c r="F11" s="48">
        <v>-40</v>
      </c>
      <c r="G11" s="48"/>
      <c r="H11" s="47" t="s">
        <v>73</v>
      </c>
      <c r="I11" s="47" t="s">
        <v>897</v>
      </c>
      <c r="J11" s="47" t="s">
        <v>47</v>
      </c>
      <c r="K11" s="42" t="s">
        <v>713</v>
      </c>
    </row>
    <row r="12" spans="1:11" x14ac:dyDescent="0.35">
      <c r="A12" s="1" t="s">
        <v>1616</v>
      </c>
      <c r="B12" s="47" t="s">
        <v>1611</v>
      </c>
      <c r="C12" s="47" t="s">
        <v>1605</v>
      </c>
      <c r="D12" s="47" t="s">
        <v>1617</v>
      </c>
      <c r="E12" s="47" t="s">
        <v>44</v>
      </c>
      <c r="F12" s="48">
        <v>-40</v>
      </c>
      <c r="G12" s="48"/>
      <c r="H12" s="47" t="s">
        <v>45</v>
      </c>
      <c r="I12" s="47" t="s">
        <v>46</v>
      </c>
      <c r="J12" s="47" t="s">
        <v>47</v>
      </c>
      <c r="K12" s="42" t="s">
        <v>713</v>
      </c>
    </row>
    <row r="13" spans="1:11" x14ac:dyDescent="0.35">
      <c r="A13" s="1" t="s">
        <v>1618</v>
      </c>
      <c r="B13" s="47" t="s">
        <v>1611</v>
      </c>
      <c r="C13" s="47" t="s">
        <v>1605</v>
      </c>
      <c r="D13" s="47" t="s">
        <v>1619</v>
      </c>
      <c r="E13" s="47" t="s">
        <v>44</v>
      </c>
      <c r="F13" s="48">
        <v>-16</v>
      </c>
      <c r="G13" s="48"/>
      <c r="H13" s="47" t="s">
        <v>73</v>
      </c>
      <c r="I13" s="47" t="s">
        <v>78</v>
      </c>
      <c r="J13" s="47" t="s">
        <v>47</v>
      </c>
      <c r="K13" s="42" t="s">
        <v>713</v>
      </c>
    </row>
    <row r="14" spans="1:11" x14ac:dyDescent="0.35">
      <c r="A14" s="1" t="s">
        <v>1610</v>
      </c>
      <c r="B14" s="47" t="s">
        <v>1611</v>
      </c>
      <c r="C14" s="47" t="s">
        <v>1605</v>
      </c>
      <c r="D14" s="47" t="s">
        <v>1612</v>
      </c>
      <c r="E14" s="47" t="s">
        <v>44</v>
      </c>
      <c r="F14" s="48">
        <v>-13.2</v>
      </c>
      <c r="G14" s="48"/>
      <c r="H14" s="47" t="s">
        <v>45</v>
      </c>
      <c r="I14" s="47" t="s">
        <v>46</v>
      </c>
      <c r="J14" s="47" t="s">
        <v>47</v>
      </c>
      <c r="K14" s="42" t="s">
        <v>713</v>
      </c>
    </row>
    <row r="15" spans="1:11" x14ac:dyDescent="0.35">
      <c r="A15" s="1" t="s">
        <v>1613</v>
      </c>
      <c r="B15" s="47" t="s">
        <v>1611</v>
      </c>
      <c r="C15" s="47" t="s">
        <v>1605</v>
      </c>
      <c r="D15" s="47" t="s">
        <v>1219</v>
      </c>
      <c r="E15" s="47" t="s">
        <v>44</v>
      </c>
      <c r="F15" s="48">
        <v>-11.8</v>
      </c>
      <c r="G15" s="48"/>
      <c r="H15" s="47" t="s">
        <v>73</v>
      </c>
      <c r="I15" s="47" t="s">
        <v>74</v>
      </c>
      <c r="J15" s="47" t="s">
        <v>47</v>
      </c>
      <c r="K15" s="42" t="s">
        <v>713</v>
      </c>
    </row>
    <row r="16" spans="1:11" x14ac:dyDescent="0.35">
      <c r="A16" s="1" t="s">
        <v>1620</v>
      </c>
      <c r="B16" s="47" t="s">
        <v>1611</v>
      </c>
      <c r="C16" s="47" t="s">
        <v>1605</v>
      </c>
      <c r="D16" s="47" t="s">
        <v>1621</v>
      </c>
      <c r="E16" s="47" t="s">
        <v>44</v>
      </c>
      <c r="F16" s="48">
        <v>-10.1</v>
      </c>
      <c r="G16" s="48"/>
      <c r="H16" s="47" t="s">
        <v>73</v>
      </c>
      <c r="I16" s="47" t="s">
        <v>78</v>
      </c>
      <c r="J16" s="47" t="s">
        <v>47</v>
      </c>
      <c r="K16" s="42" t="s">
        <v>713</v>
      </c>
    </row>
    <row r="17" spans="1:11" x14ac:dyDescent="0.35">
      <c r="A17" s="1" t="s">
        <v>1608</v>
      </c>
      <c r="B17" s="47" t="s">
        <v>1609</v>
      </c>
      <c r="C17" s="47" t="s">
        <v>1602</v>
      </c>
      <c r="D17" s="47" t="s">
        <v>1467</v>
      </c>
      <c r="E17" s="47" t="s">
        <v>44</v>
      </c>
      <c r="F17" s="48">
        <v>-18.98</v>
      </c>
      <c r="G17" s="48"/>
      <c r="H17" s="47" t="s">
        <v>50</v>
      </c>
      <c r="I17" s="47" t="s">
        <v>165</v>
      </c>
      <c r="J17" s="47" t="s">
        <v>91</v>
      </c>
      <c r="K17" s="42" t="s">
        <v>713</v>
      </c>
    </row>
    <row r="18" spans="1:11" x14ac:dyDescent="0.35">
      <c r="A18" s="1" t="s">
        <v>1606</v>
      </c>
      <c r="B18" s="47" t="s">
        <v>1605</v>
      </c>
      <c r="C18" s="47" t="s">
        <v>1597</v>
      </c>
      <c r="D18" s="47" t="s">
        <v>197</v>
      </c>
      <c r="E18" s="47" t="s">
        <v>44</v>
      </c>
      <c r="F18" s="48">
        <v>-51</v>
      </c>
      <c r="G18" s="48"/>
      <c r="H18" s="47" t="s">
        <v>50</v>
      </c>
      <c r="I18" s="47" t="s">
        <v>19</v>
      </c>
      <c r="J18" s="47" t="s">
        <v>47</v>
      </c>
      <c r="K18" s="42" t="s">
        <v>713</v>
      </c>
    </row>
    <row r="19" spans="1:11" x14ac:dyDescent="0.35">
      <c r="A19" s="1" t="s">
        <v>1604</v>
      </c>
      <c r="B19" s="47" t="s">
        <v>1605</v>
      </c>
      <c r="C19" s="47" t="s">
        <v>1597</v>
      </c>
      <c r="D19" s="47" t="s">
        <v>561</v>
      </c>
      <c r="E19" s="47" t="s">
        <v>44</v>
      </c>
      <c r="F19" s="48">
        <v>-35.950000000000003</v>
      </c>
      <c r="G19" s="48"/>
      <c r="H19" s="47" t="s">
        <v>90</v>
      </c>
      <c r="I19" s="47" t="s">
        <v>106</v>
      </c>
      <c r="J19" s="47" t="s">
        <v>47</v>
      </c>
      <c r="K19" s="42" t="s">
        <v>713</v>
      </c>
    </row>
    <row r="20" spans="1:11" x14ac:dyDescent="0.35">
      <c r="A20" s="1" t="s">
        <v>1607</v>
      </c>
      <c r="B20" s="47" t="s">
        <v>1605</v>
      </c>
      <c r="C20" s="47" t="s">
        <v>1597</v>
      </c>
      <c r="D20" s="47" t="s">
        <v>105</v>
      </c>
      <c r="E20" s="47" t="s">
        <v>44</v>
      </c>
      <c r="F20" s="48">
        <v>-22.1</v>
      </c>
      <c r="G20" s="48"/>
      <c r="H20" s="47" t="s">
        <v>90</v>
      </c>
      <c r="I20" s="47" t="s">
        <v>106</v>
      </c>
      <c r="J20" s="47" t="s">
        <v>47</v>
      </c>
      <c r="K20" s="42" t="s">
        <v>713</v>
      </c>
    </row>
    <row r="21" spans="1:11" x14ac:dyDescent="0.35">
      <c r="A21" s="1" t="s">
        <v>1601</v>
      </c>
      <c r="B21" s="47" t="s">
        <v>1602</v>
      </c>
      <c r="C21" s="47" t="s">
        <v>1583</v>
      </c>
      <c r="D21" s="47" t="s">
        <v>1603</v>
      </c>
      <c r="E21" s="47" t="s">
        <v>44</v>
      </c>
      <c r="F21" s="48">
        <v>-26.59</v>
      </c>
      <c r="G21" s="48"/>
      <c r="H21" s="47" t="s">
        <v>90</v>
      </c>
      <c r="I21" s="47" t="s">
        <v>106</v>
      </c>
      <c r="J21" s="47" t="s">
        <v>91</v>
      </c>
      <c r="K21" s="42" t="s">
        <v>713</v>
      </c>
    </row>
    <row r="22" spans="1:11" x14ac:dyDescent="0.35">
      <c r="A22" s="1" t="s">
        <v>1599</v>
      </c>
      <c r="B22" s="47" t="s">
        <v>1597</v>
      </c>
      <c r="C22" s="47" t="s">
        <v>1597</v>
      </c>
      <c r="D22" s="47" t="s">
        <v>1600</v>
      </c>
      <c r="E22" s="47" t="s">
        <v>44</v>
      </c>
      <c r="F22" s="48">
        <v>-125.86</v>
      </c>
      <c r="G22" s="48"/>
      <c r="H22" s="47" t="s">
        <v>50</v>
      </c>
      <c r="I22" s="47" t="s">
        <v>69</v>
      </c>
      <c r="J22" s="47" t="s">
        <v>1422</v>
      </c>
      <c r="K22" s="42" t="s">
        <v>713</v>
      </c>
    </row>
    <row r="23" spans="1:11" x14ac:dyDescent="0.35">
      <c r="A23" s="1" t="s">
        <v>1596</v>
      </c>
      <c r="B23" s="47" t="s">
        <v>1597</v>
      </c>
      <c r="C23" s="47" t="s">
        <v>1583</v>
      </c>
      <c r="D23" s="47" t="s">
        <v>72</v>
      </c>
      <c r="E23" s="47" t="s">
        <v>44</v>
      </c>
      <c r="F23" s="48">
        <v>-4.8</v>
      </c>
      <c r="G23" s="48"/>
      <c r="H23" s="47" t="s">
        <v>73</v>
      </c>
      <c r="I23" s="47" t="s">
        <v>74</v>
      </c>
      <c r="J23" s="47" t="s">
        <v>47</v>
      </c>
      <c r="K23" s="42" t="s">
        <v>713</v>
      </c>
    </row>
    <row r="24" spans="1:11" x14ac:dyDescent="0.35">
      <c r="A24" s="1" t="s">
        <v>1598</v>
      </c>
      <c r="B24" s="47" t="s">
        <v>1597</v>
      </c>
      <c r="C24" s="47" t="s">
        <v>1583</v>
      </c>
      <c r="D24" s="47" t="s">
        <v>815</v>
      </c>
      <c r="E24" s="47" t="s">
        <v>44</v>
      </c>
      <c r="F24" s="48">
        <v>-4.8</v>
      </c>
      <c r="G24" s="48"/>
      <c r="H24" s="47" t="s">
        <v>73</v>
      </c>
      <c r="I24" s="47" t="s">
        <v>74</v>
      </c>
      <c r="J24" s="47" t="s">
        <v>47</v>
      </c>
      <c r="K24" s="42" t="s">
        <v>713</v>
      </c>
    </row>
    <row r="25" spans="1:11" x14ac:dyDescent="0.35">
      <c r="A25" s="1" t="s">
        <v>1589</v>
      </c>
      <c r="B25" s="47" t="s">
        <v>1590</v>
      </c>
      <c r="C25" s="47" t="s">
        <v>1583</v>
      </c>
      <c r="D25" s="47" t="s">
        <v>1591</v>
      </c>
      <c r="E25" s="47" t="s">
        <v>44</v>
      </c>
      <c r="F25" s="48">
        <v>-65.05</v>
      </c>
      <c r="G25" s="48"/>
      <c r="H25" s="47" t="s">
        <v>45</v>
      </c>
      <c r="I25" s="47" t="s">
        <v>46</v>
      </c>
      <c r="J25" s="47" t="s">
        <v>47</v>
      </c>
      <c r="K25" s="42" t="s">
        <v>713</v>
      </c>
    </row>
    <row r="26" spans="1:11" x14ac:dyDescent="0.35">
      <c r="A26" s="1" t="s">
        <v>1592</v>
      </c>
      <c r="B26" s="47" t="s">
        <v>1590</v>
      </c>
      <c r="C26" s="47" t="s">
        <v>1574</v>
      </c>
      <c r="D26" s="47" t="s">
        <v>1593</v>
      </c>
      <c r="E26" s="47" t="s">
        <v>44</v>
      </c>
      <c r="F26" s="48">
        <v>-10.5</v>
      </c>
      <c r="G26" s="48"/>
      <c r="H26" s="47" t="s">
        <v>50</v>
      </c>
      <c r="I26" s="47" t="s">
        <v>15</v>
      </c>
      <c r="J26" s="47" t="s">
        <v>47</v>
      </c>
      <c r="K26" s="42" t="s">
        <v>713</v>
      </c>
    </row>
    <row r="27" spans="1:11" x14ac:dyDescent="0.35">
      <c r="A27" s="1" t="s">
        <v>1594</v>
      </c>
      <c r="B27" s="47" t="s">
        <v>1590</v>
      </c>
      <c r="C27" s="47" t="s">
        <v>1583</v>
      </c>
      <c r="D27" s="47" t="s">
        <v>1595</v>
      </c>
      <c r="E27" s="47" t="s">
        <v>44</v>
      </c>
      <c r="F27" s="48">
        <v>-8.8800000000000008</v>
      </c>
      <c r="G27" s="48"/>
      <c r="H27" s="47" t="s">
        <v>50</v>
      </c>
      <c r="I27" s="47" t="s">
        <v>15</v>
      </c>
      <c r="J27" s="47" t="s">
        <v>47</v>
      </c>
      <c r="K27" s="42" t="s">
        <v>713</v>
      </c>
    </row>
    <row r="28" spans="1:11" x14ac:dyDescent="0.35">
      <c r="A28" s="1" t="s">
        <v>1585</v>
      </c>
      <c r="B28" s="47" t="s">
        <v>1586</v>
      </c>
      <c r="C28" s="47" t="s">
        <v>1574</v>
      </c>
      <c r="D28" s="47" t="s">
        <v>1587</v>
      </c>
      <c r="E28" s="47" t="s">
        <v>44</v>
      </c>
      <c r="F28" s="48">
        <v>-38</v>
      </c>
      <c r="G28" s="48"/>
      <c r="H28" s="47" t="s">
        <v>45</v>
      </c>
      <c r="I28" s="47" t="s">
        <v>46</v>
      </c>
      <c r="J28" s="47" t="s">
        <v>47</v>
      </c>
      <c r="K28" s="42" t="s">
        <v>713</v>
      </c>
    </row>
    <row r="29" spans="1:11" x14ac:dyDescent="0.35">
      <c r="A29" s="1" t="s">
        <v>1588</v>
      </c>
      <c r="B29" s="47" t="s">
        <v>1586</v>
      </c>
      <c r="C29" s="47" t="s">
        <v>1574</v>
      </c>
      <c r="D29" s="47" t="s">
        <v>63</v>
      </c>
      <c r="E29" s="47" t="s">
        <v>44</v>
      </c>
      <c r="F29" s="48">
        <v>-27.33</v>
      </c>
      <c r="G29" s="48"/>
      <c r="H29" s="47" t="s">
        <v>50</v>
      </c>
      <c r="I29" s="47" t="s">
        <v>15</v>
      </c>
      <c r="J29" s="47" t="s">
        <v>47</v>
      </c>
      <c r="K29" s="42" t="s">
        <v>713</v>
      </c>
    </row>
    <row r="30" spans="1:11" x14ac:dyDescent="0.35">
      <c r="A30" s="1" t="s">
        <v>1582</v>
      </c>
      <c r="B30" s="47" t="s">
        <v>1583</v>
      </c>
      <c r="C30" s="47" t="s">
        <v>1583</v>
      </c>
      <c r="D30" s="47" t="s">
        <v>220</v>
      </c>
      <c r="E30" s="47" t="s">
        <v>44</v>
      </c>
      <c r="F30" s="48">
        <v>742.68</v>
      </c>
      <c r="G30" s="48"/>
      <c r="H30" s="47" t="s">
        <v>58</v>
      </c>
      <c r="I30" s="47" t="s">
        <v>59</v>
      </c>
      <c r="J30" s="47" t="s">
        <v>60</v>
      </c>
      <c r="K30" s="42" t="s">
        <v>713</v>
      </c>
    </row>
    <row r="31" spans="1:11" x14ac:dyDescent="0.35">
      <c r="A31" s="1" t="s">
        <v>1584</v>
      </c>
      <c r="B31" s="47" t="s">
        <v>1583</v>
      </c>
      <c r="C31" s="47" t="s">
        <v>1583</v>
      </c>
      <c r="D31" s="47" t="s">
        <v>211</v>
      </c>
      <c r="E31" s="47" t="s">
        <v>44</v>
      </c>
      <c r="F31" s="48">
        <v>3688.79</v>
      </c>
      <c r="G31" s="48"/>
      <c r="H31" s="47" t="s">
        <v>58</v>
      </c>
      <c r="I31" s="47" t="s">
        <v>59</v>
      </c>
      <c r="J31" s="47" t="s">
        <v>60</v>
      </c>
      <c r="K31" s="42" t="s">
        <v>713</v>
      </c>
    </row>
    <row r="32" spans="1:11" x14ac:dyDescent="0.35">
      <c r="A32" s="1" t="s">
        <v>1578</v>
      </c>
      <c r="B32" s="47" t="s">
        <v>1574</v>
      </c>
      <c r="C32" s="47" t="s">
        <v>1548</v>
      </c>
      <c r="D32" s="47" t="s">
        <v>1430</v>
      </c>
      <c r="E32" s="47" t="s">
        <v>44</v>
      </c>
      <c r="F32" s="48">
        <v>-70.180000000000007</v>
      </c>
      <c r="G32" s="48"/>
      <c r="H32" s="47" t="s">
        <v>90</v>
      </c>
      <c r="I32" s="47" t="s">
        <v>78</v>
      </c>
      <c r="J32" s="47" t="s">
        <v>91</v>
      </c>
      <c r="K32" s="42" t="s">
        <v>713</v>
      </c>
    </row>
    <row r="33" spans="1:11" x14ac:dyDescent="0.35">
      <c r="A33" s="1" t="s">
        <v>1579</v>
      </c>
      <c r="B33" s="47" t="s">
        <v>1574</v>
      </c>
      <c r="C33" s="47" t="s">
        <v>1574</v>
      </c>
      <c r="D33" s="47" t="s">
        <v>1580</v>
      </c>
      <c r="E33" s="47" t="s">
        <v>44</v>
      </c>
      <c r="F33" s="48">
        <v>-61.77</v>
      </c>
      <c r="G33" s="48"/>
      <c r="H33" s="47" t="s">
        <v>50</v>
      </c>
      <c r="I33" s="47" t="s">
        <v>21</v>
      </c>
      <c r="J33" s="47" t="s">
        <v>79</v>
      </c>
      <c r="K33" s="42" t="s">
        <v>713</v>
      </c>
    </row>
    <row r="34" spans="1:11" x14ac:dyDescent="0.35">
      <c r="A34" s="1" t="s">
        <v>1581</v>
      </c>
      <c r="B34" s="47" t="s">
        <v>1574</v>
      </c>
      <c r="C34" s="47" t="s">
        <v>1574</v>
      </c>
      <c r="D34" s="47" t="s">
        <v>731</v>
      </c>
      <c r="E34" s="47" t="s">
        <v>44</v>
      </c>
      <c r="F34" s="48">
        <v>-49.7</v>
      </c>
      <c r="G34" s="48"/>
      <c r="H34" s="47" t="s">
        <v>77</v>
      </c>
      <c r="I34" s="47" t="s">
        <v>78</v>
      </c>
      <c r="J34" s="47" t="s">
        <v>79</v>
      </c>
      <c r="K34" s="42" t="s">
        <v>713</v>
      </c>
    </row>
    <row r="35" spans="1:11" x14ac:dyDescent="0.35">
      <c r="A35" s="1" t="s">
        <v>1573</v>
      </c>
      <c r="B35" s="47" t="s">
        <v>1574</v>
      </c>
      <c r="C35" s="47" t="s">
        <v>1568</v>
      </c>
      <c r="D35" s="47" t="s">
        <v>287</v>
      </c>
      <c r="E35" s="47" t="s">
        <v>44</v>
      </c>
      <c r="F35" s="48">
        <v>-47.3</v>
      </c>
      <c r="G35" s="48"/>
      <c r="H35" s="47" t="s">
        <v>251</v>
      </c>
      <c r="I35" s="47" t="s">
        <v>288</v>
      </c>
      <c r="J35" s="47" t="s">
        <v>47</v>
      </c>
      <c r="K35" s="42" t="s">
        <v>713</v>
      </c>
    </row>
    <row r="36" spans="1:11" x14ac:dyDescent="0.35">
      <c r="A36" s="1" t="s">
        <v>1575</v>
      </c>
      <c r="B36" s="47" t="s">
        <v>1574</v>
      </c>
      <c r="C36" s="47" t="s">
        <v>1568</v>
      </c>
      <c r="D36" s="47" t="s">
        <v>63</v>
      </c>
      <c r="E36" s="47" t="s">
        <v>44</v>
      </c>
      <c r="F36" s="48">
        <v>-30.63</v>
      </c>
      <c r="G36" s="48"/>
      <c r="H36" s="47" t="s">
        <v>50</v>
      </c>
      <c r="I36" s="47" t="s">
        <v>15</v>
      </c>
      <c r="J36" s="47" t="s">
        <v>47</v>
      </c>
      <c r="K36" s="42" t="s">
        <v>713</v>
      </c>
    </row>
    <row r="37" spans="1:11" x14ac:dyDescent="0.35">
      <c r="A37" s="1" t="s">
        <v>1576</v>
      </c>
      <c r="B37" s="47" t="s">
        <v>1574</v>
      </c>
      <c r="C37" s="47" t="s">
        <v>1568</v>
      </c>
      <c r="D37" s="47" t="s">
        <v>1577</v>
      </c>
      <c r="E37" s="47" t="s">
        <v>44</v>
      </c>
      <c r="F37" s="48">
        <v>-15.2</v>
      </c>
      <c r="G37" s="48"/>
      <c r="H37" s="47" t="s">
        <v>90</v>
      </c>
      <c r="I37" s="47" t="s">
        <v>78</v>
      </c>
      <c r="J37" s="47" t="s">
        <v>91</v>
      </c>
      <c r="K37" s="42" t="s">
        <v>713</v>
      </c>
    </row>
    <row r="38" spans="1:11" x14ac:dyDescent="0.35">
      <c r="A38" s="1" t="s">
        <v>1570</v>
      </c>
      <c r="B38" s="47" t="s">
        <v>1571</v>
      </c>
      <c r="C38" s="47" t="s">
        <v>1571</v>
      </c>
      <c r="D38" s="47" t="s">
        <v>1572</v>
      </c>
      <c r="E38" s="47" t="s">
        <v>44</v>
      </c>
      <c r="F38" s="48">
        <v>153</v>
      </c>
      <c r="G38" s="48"/>
      <c r="H38" s="47" t="s">
        <v>648</v>
      </c>
      <c r="I38" s="47" t="s">
        <v>59</v>
      </c>
      <c r="J38" s="47" t="s">
        <v>60</v>
      </c>
      <c r="K38" s="42" t="s">
        <v>713</v>
      </c>
    </row>
    <row r="39" spans="1:11" x14ac:dyDescent="0.35">
      <c r="A39" s="1" t="s">
        <v>1567</v>
      </c>
      <c r="B39" s="47" t="s">
        <v>1568</v>
      </c>
      <c r="C39" s="47" t="s">
        <v>1551</v>
      </c>
      <c r="D39" s="47" t="s">
        <v>72</v>
      </c>
      <c r="E39" s="47" t="s">
        <v>44</v>
      </c>
      <c r="F39" s="48">
        <v>-4.8</v>
      </c>
      <c r="G39" s="48"/>
      <c r="H39" s="47" t="s">
        <v>73</v>
      </c>
      <c r="I39" s="47" t="s">
        <v>74</v>
      </c>
      <c r="J39" s="47" t="s">
        <v>47</v>
      </c>
      <c r="K39" s="42" t="s">
        <v>713</v>
      </c>
    </row>
    <row r="40" spans="1:11" x14ac:dyDescent="0.35">
      <c r="A40" s="1" t="s">
        <v>1569</v>
      </c>
      <c r="B40" s="47" t="s">
        <v>1568</v>
      </c>
      <c r="C40" s="47" t="s">
        <v>1551</v>
      </c>
      <c r="D40" s="47" t="s">
        <v>815</v>
      </c>
      <c r="E40" s="47" t="s">
        <v>44</v>
      </c>
      <c r="F40" s="48">
        <v>-4.8</v>
      </c>
      <c r="G40" s="48"/>
      <c r="H40" s="47" t="s">
        <v>73</v>
      </c>
      <c r="I40" s="47" t="s">
        <v>74</v>
      </c>
      <c r="J40" s="47" t="s">
        <v>47</v>
      </c>
      <c r="K40" s="42" t="s">
        <v>713</v>
      </c>
    </row>
    <row r="41" spans="1:11" x14ac:dyDescent="0.35">
      <c r="A41" s="1" t="s">
        <v>1564</v>
      </c>
      <c r="B41" s="47" t="s">
        <v>1565</v>
      </c>
      <c r="C41" s="47" t="s">
        <v>1551</v>
      </c>
      <c r="D41" s="47" t="s">
        <v>1566</v>
      </c>
      <c r="E41" s="47" t="s">
        <v>44</v>
      </c>
      <c r="F41" s="48">
        <v>-45.66</v>
      </c>
      <c r="G41" s="48"/>
      <c r="H41" s="47" t="s">
        <v>50</v>
      </c>
      <c r="I41" s="47" t="s">
        <v>15</v>
      </c>
      <c r="J41" s="47" t="s">
        <v>47</v>
      </c>
      <c r="K41" s="42" t="s">
        <v>713</v>
      </c>
    </row>
    <row r="42" spans="1:11" x14ac:dyDescent="0.35">
      <c r="A42" s="1" t="s">
        <v>1562</v>
      </c>
      <c r="B42" s="47" t="s">
        <v>1561</v>
      </c>
      <c r="C42" s="47" t="s">
        <v>1548</v>
      </c>
      <c r="D42" s="47" t="s">
        <v>1540</v>
      </c>
      <c r="E42" s="47" t="s">
        <v>44</v>
      </c>
      <c r="F42" s="48">
        <v>-9</v>
      </c>
      <c r="G42" s="48"/>
      <c r="H42" s="47" t="s">
        <v>50</v>
      </c>
      <c r="I42" s="47" t="s">
        <v>195</v>
      </c>
      <c r="J42" s="47" t="s">
        <v>47</v>
      </c>
      <c r="K42" s="42" t="s">
        <v>713</v>
      </c>
    </row>
    <row r="43" spans="1:11" x14ac:dyDescent="0.35">
      <c r="A43" s="1" t="s">
        <v>1560</v>
      </c>
      <c r="B43" s="47" t="s">
        <v>1561</v>
      </c>
      <c r="C43" s="47" t="s">
        <v>1551</v>
      </c>
      <c r="D43" s="47" t="s">
        <v>230</v>
      </c>
      <c r="E43" s="47" t="s">
        <v>44</v>
      </c>
      <c r="F43" s="48">
        <v>-3</v>
      </c>
      <c r="G43" s="48"/>
      <c r="H43" s="47" t="s">
        <v>73</v>
      </c>
      <c r="I43" s="47" t="s">
        <v>74</v>
      </c>
      <c r="J43" s="47" t="s">
        <v>47</v>
      </c>
      <c r="K43" s="42" t="s">
        <v>713</v>
      </c>
    </row>
    <row r="44" spans="1:11" x14ac:dyDescent="0.35">
      <c r="A44" s="1" t="s">
        <v>1563</v>
      </c>
      <c r="B44" s="47" t="s">
        <v>1561</v>
      </c>
      <c r="C44" s="47" t="s">
        <v>1551</v>
      </c>
      <c r="D44" s="47" t="s">
        <v>1543</v>
      </c>
      <c r="E44" s="47" t="s">
        <v>44</v>
      </c>
      <c r="F44" s="48">
        <v>-3</v>
      </c>
      <c r="G44" s="48"/>
      <c r="H44" s="47" t="s">
        <v>73</v>
      </c>
      <c r="I44" s="47" t="s">
        <v>74</v>
      </c>
      <c r="J44" s="47" t="s">
        <v>47</v>
      </c>
      <c r="K44" s="42" t="s">
        <v>713</v>
      </c>
    </row>
    <row r="45" spans="1:11" x14ac:dyDescent="0.35">
      <c r="A45" s="1" t="s">
        <v>1557</v>
      </c>
      <c r="B45" s="47" t="s">
        <v>1558</v>
      </c>
      <c r="C45" s="47" t="s">
        <v>1548</v>
      </c>
      <c r="D45" s="47" t="s">
        <v>1559</v>
      </c>
      <c r="E45" s="47" t="s">
        <v>44</v>
      </c>
      <c r="F45" s="48">
        <v>-29.99</v>
      </c>
      <c r="G45" s="48"/>
      <c r="H45" s="47" t="s">
        <v>464</v>
      </c>
      <c r="I45" s="47" t="s">
        <v>1382</v>
      </c>
      <c r="J45" s="47" t="s">
        <v>47</v>
      </c>
      <c r="K45" s="42" t="s">
        <v>713</v>
      </c>
    </row>
    <row r="46" spans="1:11" x14ac:dyDescent="0.35">
      <c r="A46" s="1" t="s">
        <v>1555</v>
      </c>
      <c r="B46" s="47" t="s">
        <v>1551</v>
      </c>
      <c r="C46" s="47" t="s">
        <v>1551</v>
      </c>
      <c r="D46" s="47" t="s">
        <v>1556</v>
      </c>
      <c r="E46" s="47" t="s">
        <v>44</v>
      </c>
      <c r="F46" s="48">
        <v>-92</v>
      </c>
      <c r="G46" s="48"/>
      <c r="H46" s="47" t="s">
        <v>50</v>
      </c>
      <c r="I46" s="47" t="s">
        <v>69</v>
      </c>
      <c r="J46" s="47" t="s">
        <v>1422</v>
      </c>
      <c r="K46" s="42" t="s">
        <v>713</v>
      </c>
    </row>
    <row r="47" spans="1:11" x14ac:dyDescent="0.35">
      <c r="A47" s="1" t="s">
        <v>1553</v>
      </c>
      <c r="B47" s="47" t="s">
        <v>1551</v>
      </c>
      <c r="C47" s="47" t="s">
        <v>1545</v>
      </c>
      <c r="D47" s="47" t="s">
        <v>197</v>
      </c>
      <c r="E47" s="47" t="s">
        <v>44</v>
      </c>
      <c r="F47" s="48">
        <v>-60.75</v>
      </c>
      <c r="G47" s="48"/>
      <c r="H47" s="47" t="s">
        <v>50</v>
      </c>
      <c r="I47" s="47" t="s">
        <v>19</v>
      </c>
      <c r="J47" s="47" t="s">
        <v>47</v>
      </c>
      <c r="K47" s="42" t="s">
        <v>713</v>
      </c>
    </row>
    <row r="48" spans="1:11" x14ac:dyDescent="0.35">
      <c r="A48" s="1" t="s">
        <v>1554</v>
      </c>
      <c r="B48" s="47" t="s">
        <v>1551</v>
      </c>
      <c r="C48" s="47" t="s">
        <v>1545</v>
      </c>
      <c r="D48" s="47" t="s">
        <v>63</v>
      </c>
      <c r="E48" s="47" t="s">
        <v>44</v>
      </c>
      <c r="F48" s="48">
        <v>-55.09</v>
      </c>
      <c r="G48" s="48"/>
      <c r="H48" s="47" t="s">
        <v>50</v>
      </c>
      <c r="I48" s="47" t="s">
        <v>15</v>
      </c>
      <c r="J48" s="47" t="s">
        <v>47</v>
      </c>
      <c r="K48" s="42" t="s">
        <v>713</v>
      </c>
    </row>
    <row r="49" spans="1:11" x14ac:dyDescent="0.35">
      <c r="A49" s="1" t="s">
        <v>1550</v>
      </c>
      <c r="B49" s="47" t="s">
        <v>1551</v>
      </c>
      <c r="C49" s="47" t="s">
        <v>1545</v>
      </c>
      <c r="D49" s="47" t="s">
        <v>1239</v>
      </c>
      <c r="E49" s="47" t="s">
        <v>44</v>
      </c>
      <c r="F49" s="48">
        <v>-37.799999999999997</v>
      </c>
      <c r="G49" s="48"/>
      <c r="H49" s="47" t="s">
        <v>45</v>
      </c>
      <c r="I49" s="47" t="s">
        <v>46</v>
      </c>
      <c r="J49" s="47" t="s">
        <v>47</v>
      </c>
      <c r="K49" s="42" t="s">
        <v>713</v>
      </c>
    </row>
    <row r="50" spans="1:11" x14ac:dyDescent="0.35">
      <c r="A50" s="1" t="s">
        <v>1552</v>
      </c>
      <c r="B50" s="47" t="s">
        <v>1551</v>
      </c>
      <c r="C50" s="47" t="s">
        <v>1545</v>
      </c>
      <c r="D50" s="47" t="s">
        <v>194</v>
      </c>
      <c r="E50" s="47" t="s">
        <v>44</v>
      </c>
      <c r="F50" s="48">
        <v>-30.35</v>
      </c>
      <c r="G50" s="48"/>
      <c r="H50" s="47" t="s">
        <v>50</v>
      </c>
      <c r="I50" s="47" t="s">
        <v>195</v>
      </c>
      <c r="J50" s="47" t="s">
        <v>47</v>
      </c>
      <c r="K50" s="42" t="s">
        <v>713</v>
      </c>
    </row>
    <row r="51" spans="1:11" x14ac:dyDescent="0.35">
      <c r="A51" s="1" t="s">
        <v>1547</v>
      </c>
      <c r="B51" s="47" t="s">
        <v>1548</v>
      </c>
      <c r="C51" s="47" t="s">
        <v>1533</v>
      </c>
      <c r="D51" s="47" t="s">
        <v>63</v>
      </c>
      <c r="E51" s="47" t="s">
        <v>44</v>
      </c>
      <c r="F51" s="48">
        <v>-88.74</v>
      </c>
      <c r="G51" s="48"/>
      <c r="H51" s="47" t="s">
        <v>50</v>
      </c>
      <c r="I51" s="47" t="s">
        <v>15</v>
      </c>
      <c r="J51" s="47" t="s">
        <v>47</v>
      </c>
      <c r="K51" s="42" t="s">
        <v>713</v>
      </c>
    </row>
    <row r="52" spans="1:11" x14ac:dyDescent="0.35">
      <c r="A52" s="1" t="s">
        <v>1549</v>
      </c>
      <c r="B52" s="47" t="s">
        <v>1548</v>
      </c>
      <c r="C52" s="47" t="s">
        <v>1548</v>
      </c>
      <c r="D52" s="47" t="s">
        <v>731</v>
      </c>
      <c r="E52" s="47" t="s">
        <v>44</v>
      </c>
      <c r="F52" s="48">
        <v>-19.989999999999998</v>
      </c>
      <c r="G52" s="48"/>
      <c r="H52" s="47" t="s">
        <v>77</v>
      </c>
      <c r="I52" s="47" t="s">
        <v>78</v>
      </c>
      <c r="J52" s="47" t="s">
        <v>79</v>
      </c>
      <c r="K52" s="42" t="s">
        <v>713</v>
      </c>
    </row>
    <row r="53" spans="1:11" x14ac:dyDescent="0.35">
      <c r="A53" s="1" t="s">
        <v>1544</v>
      </c>
      <c r="B53" s="47" t="s">
        <v>1545</v>
      </c>
      <c r="C53" s="47" t="s">
        <v>1533</v>
      </c>
      <c r="D53" s="47" t="s">
        <v>63</v>
      </c>
      <c r="E53" s="47" t="s">
        <v>44</v>
      </c>
      <c r="F53" s="48">
        <v>-7.57</v>
      </c>
      <c r="G53" s="48"/>
      <c r="H53" s="47" t="s">
        <v>50</v>
      </c>
      <c r="I53" s="47" t="s">
        <v>15</v>
      </c>
      <c r="J53" s="47" t="s">
        <v>47</v>
      </c>
      <c r="K53" s="42" t="s">
        <v>713</v>
      </c>
    </row>
    <row r="54" spans="1:11" x14ac:dyDescent="0.35">
      <c r="A54" s="1" t="s">
        <v>1546</v>
      </c>
      <c r="B54" s="47" t="s">
        <v>1545</v>
      </c>
      <c r="C54" s="47" t="s">
        <v>1545</v>
      </c>
      <c r="D54" s="47" t="s">
        <v>211</v>
      </c>
      <c r="E54" s="47" t="s">
        <v>44</v>
      </c>
      <c r="F54" s="48">
        <v>1101.5</v>
      </c>
      <c r="G54" s="48"/>
      <c r="H54" s="47" t="s">
        <v>58</v>
      </c>
      <c r="I54" s="47" t="s">
        <v>59</v>
      </c>
      <c r="J54" s="47" t="s">
        <v>60</v>
      </c>
      <c r="K54" s="42" t="s">
        <v>713</v>
      </c>
    </row>
    <row r="55" spans="1:11" x14ac:dyDescent="0.35">
      <c r="A55" s="1" t="s">
        <v>1541</v>
      </c>
      <c r="B55" s="47" t="s">
        <v>1536</v>
      </c>
      <c r="C55" s="47" t="s">
        <v>1531</v>
      </c>
      <c r="D55" s="47" t="s">
        <v>1540</v>
      </c>
      <c r="E55" s="47" t="s">
        <v>44</v>
      </c>
      <c r="F55" s="48">
        <v>-200.95</v>
      </c>
      <c r="G55" s="48"/>
      <c r="H55" s="47" t="s">
        <v>50</v>
      </c>
      <c r="I55" s="47" t="s">
        <v>195</v>
      </c>
      <c r="J55" s="47" t="s">
        <v>47</v>
      </c>
      <c r="K55" s="42" t="s">
        <v>713</v>
      </c>
    </row>
    <row r="56" spans="1:11" x14ac:dyDescent="0.35">
      <c r="A56" s="1" t="s">
        <v>1539</v>
      </c>
      <c r="B56" s="47" t="s">
        <v>1536</v>
      </c>
      <c r="C56" s="47" t="s">
        <v>1531</v>
      </c>
      <c r="D56" s="47" t="s">
        <v>1540</v>
      </c>
      <c r="E56" s="47" t="s">
        <v>44</v>
      </c>
      <c r="F56" s="48">
        <v>-42.85</v>
      </c>
      <c r="G56" s="48"/>
      <c r="H56" s="47" t="s">
        <v>50</v>
      </c>
      <c r="I56" s="47" t="s">
        <v>195</v>
      </c>
      <c r="J56" s="47" t="s">
        <v>47</v>
      </c>
      <c r="K56" s="42" t="s">
        <v>713</v>
      </c>
    </row>
    <row r="57" spans="1:11" x14ac:dyDescent="0.35">
      <c r="A57" s="1" t="s">
        <v>1535</v>
      </c>
      <c r="B57" s="47" t="s">
        <v>1536</v>
      </c>
      <c r="C57" s="47" t="s">
        <v>1533</v>
      </c>
      <c r="D57" s="47" t="s">
        <v>1454</v>
      </c>
      <c r="E57" s="47" t="s">
        <v>44</v>
      </c>
      <c r="F57" s="48">
        <v>-4.79</v>
      </c>
      <c r="G57" s="48"/>
      <c r="H57" s="47" t="s">
        <v>50</v>
      </c>
      <c r="I57" s="47" t="s">
        <v>195</v>
      </c>
      <c r="J57" s="47" t="s">
        <v>47</v>
      </c>
      <c r="K57" s="42" t="s">
        <v>713</v>
      </c>
    </row>
    <row r="58" spans="1:11" x14ac:dyDescent="0.35">
      <c r="A58" s="1" t="s">
        <v>1542</v>
      </c>
      <c r="B58" s="47" t="s">
        <v>1536</v>
      </c>
      <c r="C58" s="47" t="s">
        <v>1533</v>
      </c>
      <c r="D58" s="47" t="s">
        <v>1543</v>
      </c>
      <c r="E58" s="47" t="s">
        <v>44</v>
      </c>
      <c r="F58" s="48">
        <v>-3</v>
      </c>
      <c r="G58" s="48"/>
      <c r="H58" s="47" t="s">
        <v>73</v>
      </c>
      <c r="I58" s="47" t="s">
        <v>74</v>
      </c>
      <c r="J58" s="47" t="s">
        <v>47</v>
      </c>
      <c r="K58" s="42" t="s">
        <v>713</v>
      </c>
    </row>
    <row r="59" spans="1:11" x14ac:dyDescent="0.35">
      <c r="A59" s="1" t="s">
        <v>1537</v>
      </c>
      <c r="B59" s="47" t="s">
        <v>1536</v>
      </c>
      <c r="C59" s="47" t="s">
        <v>1533</v>
      </c>
      <c r="D59" s="47" t="s">
        <v>1538</v>
      </c>
      <c r="E59" s="47" t="s">
        <v>44</v>
      </c>
      <c r="F59" s="48">
        <v>-1.9</v>
      </c>
      <c r="G59" s="48"/>
      <c r="H59" s="47" t="s">
        <v>73</v>
      </c>
      <c r="I59" s="47" t="s">
        <v>74</v>
      </c>
      <c r="J59" s="47" t="s">
        <v>47</v>
      </c>
      <c r="K59" s="42" t="s">
        <v>713</v>
      </c>
    </row>
    <row r="60" spans="1:11" x14ac:dyDescent="0.35">
      <c r="A60" s="1" t="s">
        <v>1532</v>
      </c>
      <c r="B60" s="47" t="s">
        <v>1533</v>
      </c>
      <c r="C60" s="47" t="s">
        <v>1525</v>
      </c>
      <c r="D60" s="47" t="s">
        <v>49</v>
      </c>
      <c r="E60" s="47" t="s">
        <v>44</v>
      </c>
      <c r="F60" s="48">
        <v>-22.8</v>
      </c>
      <c r="G60" s="48"/>
      <c r="H60" s="47" t="s">
        <v>50</v>
      </c>
      <c r="I60" s="47" t="s">
        <v>51</v>
      </c>
      <c r="J60" s="47" t="s">
        <v>47</v>
      </c>
      <c r="K60" s="42" t="s">
        <v>713</v>
      </c>
    </row>
    <row r="61" spans="1:11" x14ac:dyDescent="0.35">
      <c r="A61" s="1" t="s">
        <v>1534</v>
      </c>
      <c r="B61" s="47" t="s">
        <v>1533</v>
      </c>
      <c r="C61" s="47" t="s">
        <v>1525</v>
      </c>
      <c r="D61" s="47" t="s">
        <v>63</v>
      </c>
      <c r="E61" s="47" t="s">
        <v>44</v>
      </c>
      <c r="F61" s="48">
        <v>-8.34</v>
      </c>
      <c r="G61" s="48"/>
      <c r="H61" s="47" t="s">
        <v>50</v>
      </c>
      <c r="I61" s="47" t="s">
        <v>15</v>
      </c>
      <c r="J61" s="47" t="s">
        <v>47</v>
      </c>
      <c r="K61" s="42" t="s">
        <v>713</v>
      </c>
    </row>
    <row r="62" spans="1:11" x14ac:dyDescent="0.35">
      <c r="A62" s="1" t="s">
        <v>1530</v>
      </c>
      <c r="B62" s="47" t="s">
        <v>1531</v>
      </c>
      <c r="C62" s="47" t="s">
        <v>1531</v>
      </c>
      <c r="D62" s="47" t="s">
        <v>731</v>
      </c>
      <c r="E62" s="47" t="s">
        <v>44</v>
      </c>
      <c r="F62" s="48">
        <v>-25</v>
      </c>
      <c r="G62" s="48"/>
      <c r="H62" s="47" t="s">
        <v>77</v>
      </c>
      <c r="I62" s="47" t="s">
        <v>78</v>
      </c>
      <c r="J62" s="47" t="s">
        <v>79</v>
      </c>
      <c r="K62" s="42" t="s">
        <v>713</v>
      </c>
    </row>
    <row r="63" spans="1:11" x14ac:dyDescent="0.35">
      <c r="A63" s="1" t="s">
        <v>1526</v>
      </c>
      <c r="B63" s="47" t="s">
        <v>1525</v>
      </c>
      <c r="C63" s="47" t="s">
        <v>59</v>
      </c>
      <c r="D63" s="47" t="s">
        <v>1430</v>
      </c>
      <c r="E63" s="47" t="s">
        <v>44</v>
      </c>
      <c r="F63" s="48">
        <v>-46.87</v>
      </c>
      <c r="G63" s="48"/>
      <c r="H63" s="47" t="s">
        <v>90</v>
      </c>
      <c r="I63" s="47" t="s">
        <v>78</v>
      </c>
      <c r="J63" s="47" t="s">
        <v>91</v>
      </c>
      <c r="K63" s="42" t="s">
        <v>713</v>
      </c>
    </row>
    <row r="64" spans="1:11" x14ac:dyDescent="0.35">
      <c r="A64" s="1" t="s">
        <v>1524</v>
      </c>
      <c r="B64" s="47" t="s">
        <v>1525</v>
      </c>
      <c r="C64" s="47" t="s">
        <v>59</v>
      </c>
      <c r="D64" s="47" t="s">
        <v>63</v>
      </c>
      <c r="E64" s="47" t="s">
        <v>44</v>
      </c>
      <c r="F64" s="48">
        <v>-30.44</v>
      </c>
      <c r="G64" s="48"/>
      <c r="H64" s="47" t="s">
        <v>50</v>
      </c>
      <c r="I64" s="47" t="s">
        <v>15</v>
      </c>
      <c r="J64" s="47" t="s">
        <v>47</v>
      </c>
      <c r="K64" s="42" t="s">
        <v>713</v>
      </c>
    </row>
    <row r="65" spans="1:11" x14ac:dyDescent="0.35">
      <c r="A65" s="1" t="s">
        <v>1528</v>
      </c>
      <c r="B65" s="47" t="s">
        <v>1525</v>
      </c>
      <c r="C65" s="47" t="s">
        <v>1525</v>
      </c>
      <c r="D65" s="47" t="s">
        <v>1529</v>
      </c>
      <c r="E65" s="47" t="s">
        <v>44</v>
      </c>
      <c r="F65" s="48">
        <v>442.5</v>
      </c>
      <c r="G65" s="48"/>
      <c r="H65" s="47" t="s">
        <v>50</v>
      </c>
      <c r="I65" s="47" t="s">
        <v>21</v>
      </c>
      <c r="J65" s="47" t="s">
        <v>60</v>
      </c>
      <c r="K65" s="42" t="s">
        <v>713</v>
      </c>
    </row>
    <row r="66" spans="1:11" x14ac:dyDescent="0.35">
      <c r="A66" s="6" t="s">
        <v>1527</v>
      </c>
      <c r="B66" s="7" t="s">
        <v>1525</v>
      </c>
      <c r="C66" s="7" t="s">
        <v>1525</v>
      </c>
      <c r="D66" s="7" t="s">
        <v>57</v>
      </c>
      <c r="E66" s="7" t="s">
        <v>44</v>
      </c>
      <c r="F66" s="10">
        <v>1686.45</v>
      </c>
      <c r="G66" s="10"/>
      <c r="H66" s="7" t="s">
        <v>58</v>
      </c>
      <c r="I66" s="7" t="s">
        <v>59</v>
      </c>
      <c r="J66" s="7" t="s">
        <v>60</v>
      </c>
      <c r="K66" s="43" t="s">
        <v>713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815E-2B1C-46A7-8772-40DCB098C518}">
  <dimension ref="A1:B37"/>
  <sheetViews>
    <sheetView workbookViewId="0">
      <selection activeCell="B17" sqref="B17"/>
    </sheetView>
  </sheetViews>
  <sheetFormatPr defaultRowHeight="12.75" x14ac:dyDescent="0.35"/>
  <cols>
    <col min="1" max="1" width="31.0664062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550</v>
      </c>
    </row>
    <row r="5" spans="1:2" x14ac:dyDescent="0.35">
      <c r="A5" s="28" t="s">
        <v>59</v>
      </c>
      <c r="B5" s="12">
        <v>550</v>
      </c>
    </row>
    <row r="6" spans="1:2" x14ac:dyDescent="0.35">
      <c r="A6" s="14" t="s">
        <v>45</v>
      </c>
      <c r="B6" s="12">
        <v>-205.95000000000002</v>
      </c>
    </row>
    <row r="7" spans="1:2" x14ac:dyDescent="0.35">
      <c r="A7" s="28" t="s">
        <v>361</v>
      </c>
      <c r="B7" s="12">
        <v>-11.9</v>
      </c>
    </row>
    <row r="8" spans="1:2" x14ac:dyDescent="0.35">
      <c r="A8" s="28" t="s">
        <v>46</v>
      </c>
      <c r="B8" s="12">
        <v>-194.05</v>
      </c>
    </row>
    <row r="9" spans="1:2" x14ac:dyDescent="0.35">
      <c r="A9" s="14" t="s">
        <v>50</v>
      </c>
      <c r="B9" s="12">
        <v>-790.43000000000006</v>
      </c>
    </row>
    <row r="10" spans="1:2" x14ac:dyDescent="0.35">
      <c r="A10" s="28" t="s">
        <v>165</v>
      </c>
      <c r="B10" s="12">
        <v>-18.98</v>
      </c>
    </row>
    <row r="11" spans="1:2" x14ac:dyDescent="0.35">
      <c r="A11" s="28" t="s">
        <v>15</v>
      </c>
      <c r="B11" s="12">
        <v>-376.62999999999994</v>
      </c>
    </row>
    <row r="12" spans="1:2" x14ac:dyDescent="0.35">
      <c r="A12" s="28" t="s">
        <v>195</v>
      </c>
      <c r="B12" s="12">
        <v>-287.94</v>
      </c>
    </row>
    <row r="13" spans="1:2" x14ac:dyDescent="0.35">
      <c r="A13" s="28" t="s">
        <v>21</v>
      </c>
      <c r="B13" s="12">
        <v>380.73</v>
      </c>
    </row>
    <row r="14" spans="1:2" x14ac:dyDescent="0.35">
      <c r="A14" s="28" t="s">
        <v>920</v>
      </c>
      <c r="B14" s="12">
        <v>-50</v>
      </c>
    </row>
    <row r="15" spans="1:2" x14ac:dyDescent="0.35">
      <c r="A15" s="28" t="s">
        <v>51</v>
      </c>
      <c r="B15" s="12">
        <v>-22.8</v>
      </c>
    </row>
    <row r="16" spans="1:2" x14ac:dyDescent="0.35">
      <c r="A16" s="28" t="s">
        <v>69</v>
      </c>
      <c r="B16" s="12">
        <v>-217.86</v>
      </c>
    </row>
    <row r="17" spans="1:2" x14ac:dyDescent="0.35">
      <c r="A17" s="28" t="s">
        <v>19</v>
      </c>
      <c r="B17" s="12">
        <v>-196.95</v>
      </c>
    </row>
    <row r="18" spans="1:2" x14ac:dyDescent="0.35">
      <c r="A18" s="14" t="s">
        <v>58</v>
      </c>
      <c r="B18" s="12">
        <v>7219.42</v>
      </c>
    </row>
    <row r="19" spans="1:2" x14ac:dyDescent="0.35">
      <c r="A19" s="28" t="s">
        <v>59</v>
      </c>
      <c r="B19" s="12">
        <v>7219.42</v>
      </c>
    </row>
    <row r="20" spans="1:2" x14ac:dyDescent="0.35">
      <c r="A20" s="14" t="s">
        <v>648</v>
      </c>
      <c r="B20" s="12">
        <v>153</v>
      </c>
    </row>
    <row r="21" spans="1:2" x14ac:dyDescent="0.35">
      <c r="A21" s="28" t="s">
        <v>59</v>
      </c>
      <c r="B21" s="12">
        <v>153</v>
      </c>
    </row>
    <row r="22" spans="1:2" x14ac:dyDescent="0.35">
      <c r="A22" s="14" t="s">
        <v>251</v>
      </c>
      <c r="B22" s="12">
        <v>-47.3</v>
      </c>
    </row>
    <row r="23" spans="1:2" x14ac:dyDescent="0.35">
      <c r="A23" s="28" t="s">
        <v>288</v>
      </c>
      <c r="B23" s="12">
        <v>-47.3</v>
      </c>
    </row>
    <row r="24" spans="1:2" x14ac:dyDescent="0.35">
      <c r="A24" s="14" t="s">
        <v>90</v>
      </c>
      <c r="B24" s="12">
        <v>-248.87</v>
      </c>
    </row>
    <row r="25" spans="1:2" x14ac:dyDescent="0.35">
      <c r="A25" s="28" t="s">
        <v>106</v>
      </c>
      <c r="B25" s="12">
        <v>-116.62</v>
      </c>
    </row>
    <row r="26" spans="1:2" x14ac:dyDescent="0.35">
      <c r="A26" s="28" t="s">
        <v>78</v>
      </c>
      <c r="B26" s="12">
        <v>-132.25</v>
      </c>
    </row>
    <row r="27" spans="1:2" x14ac:dyDescent="0.35">
      <c r="A27" s="14" t="s">
        <v>464</v>
      </c>
      <c r="B27" s="12">
        <v>-29.99</v>
      </c>
    </row>
    <row r="28" spans="1:2" x14ac:dyDescent="0.35">
      <c r="A28" s="28" t="s">
        <v>1382</v>
      </c>
      <c r="B28" s="12">
        <v>-29.99</v>
      </c>
    </row>
    <row r="29" spans="1:2" x14ac:dyDescent="0.35">
      <c r="A29" s="14" t="s">
        <v>77</v>
      </c>
      <c r="B29" s="12">
        <v>-94.69</v>
      </c>
    </row>
    <row r="30" spans="1:2" x14ac:dyDescent="0.35">
      <c r="A30" s="28" t="s">
        <v>78</v>
      </c>
      <c r="B30" s="12">
        <v>-94.69</v>
      </c>
    </row>
    <row r="31" spans="1:2" x14ac:dyDescent="0.35">
      <c r="A31" s="14" t="s">
        <v>73</v>
      </c>
      <c r="B31" s="12">
        <v>-108</v>
      </c>
    </row>
    <row r="32" spans="1:2" x14ac:dyDescent="0.35">
      <c r="A32" s="28" t="s">
        <v>897</v>
      </c>
      <c r="B32" s="12">
        <v>-40</v>
      </c>
    </row>
    <row r="33" spans="1:2" x14ac:dyDescent="0.35">
      <c r="A33" s="28" t="s">
        <v>74</v>
      </c>
      <c r="B33" s="12">
        <v>-41.9</v>
      </c>
    </row>
    <row r="34" spans="1:2" x14ac:dyDescent="0.35">
      <c r="A34" s="28" t="s">
        <v>78</v>
      </c>
      <c r="B34" s="12">
        <v>-26.1</v>
      </c>
    </row>
    <row r="35" spans="1:2" x14ac:dyDescent="0.35">
      <c r="A35" s="14" t="s">
        <v>1698</v>
      </c>
      <c r="B35" s="12">
        <v>-881.2</v>
      </c>
    </row>
    <row r="36" spans="1:2" x14ac:dyDescent="0.35">
      <c r="A36" s="28" t="s">
        <v>205</v>
      </c>
      <c r="B36" s="12">
        <v>-881.2</v>
      </c>
    </row>
    <row r="37" spans="1:2" x14ac:dyDescent="0.35">
      <c r="A37" s="14" t="s">
        <v>208</v>
      </c>
      <c r="B37" s="12">
        <v>5515.9900000000007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2BD8-B90E-47DF-9A05-3DB23B61E943}">
  <dimension ref="A1:K35"/>
  <sheetViews>
    <sheetView workbookViewId="0">
      <selection activeCell="C35" sqref="C35"/>
    </sheetView>
  </sheetViews>
  <sheetFormatPr defaultRowHeight="12.75" x14ac:dyDescent="0.35"/>
  <cols>
    <col min="1" max="1" width="20.59765625" customWidth="1"/>
    <col min="2" max="2" width="16.796875" customWidth="1"/>
    <col min="3" max="3" width="12.33203125" customWidth="1"/>
    <col min="4" max="4" width="86.9296875" bestFit="1" customWidth="1"/>
    <col min="6" max="6" width="9.59765625" customWidth="1"/>
    <col min="7" max="7" width="11.6640625" bestFit="1" customWidth="1"/>
    <col min="8" max="8" width="11.06640625" customWidth="1"/>
    <col min="9" max="9" width="15.3984375" customWidth="1"/>
    <col min="10" max="10" width="25.9296875" bestFit="1" customWidth="1"/>
  </cols>
  <sheetData>
    <row r="1" spans="1:11" ht="13.15" x14ac:dyDescent="0.4">
      <c r="A1" s="3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410</v>
      </c>
      <c r="H1" s="4" t="s">
        <v>38</v>
      </c>
      <c r="I1" s="4" t="s">
        <v>39</v>
      </c>
      <c r="J1" s="4" t="s">
        <v>40</v>
      </c>
      <c r="K1" s="5" t="s">
        <v>708</v>
      </c>
    </row>
    <row r="2" spans="1:11" x14ac:dyDescent="0.35">
      <c r="A2" s="1" t="s">
        <v>1695</v>
      </c>
      <c r="B2" s="47" t="s">
        <v>1694</v>
      </c>
      <c r="C2" s="47" t="s">
        <v>1687</v>
      </c>
      <c r="D2" s="47" t="s">
        <v>197</v>
      </c>
      <c r="E2" s="47" t="s">
        <v>44</v>
      </c>
      <c r="F2" s="48">
        <v>-125.2</v>
      </c>
      <c r="G2" s="48"/>
      <c r="H2" s="47" t="s">
        <v>50</v>
      </c>
      <c r="I2" s="47" t="s">
        <v>19</v>
      </c>
      <c r="J2" s="47" t="s">
        <v>47</v>
      </c>
      <c r="K2" s="42" t="s">
        <v>713</v>
      </c>
    </row>
    <row r="3" spans="1:11" x14ac:dyDescent="0.35">
      <c r="A3" s="1" t="s">
        <v>1693</v>
      </c>
      <c r="B3" s="47" t="s">
        <v>1694</v>
      </c>
      <c r="C3" s="47" t="s">
        <v>1687</v>
      </c>
      <c r="D3" s="47" t="s">
        <v>589</v>
      </c>
      <c r="E3" s="47" t="s">
        <v>44</v>
      </c>
      <c r="F3" s="48">
        <v>-94.47</v>
      </c>
      <c r="G3" s="48"/>
      <c r="H3" s="47" t="s">
        <v>90</v>
      </c>
      <c r="I3" s="47" t="s">
        <v>590</v>
      </c>
      <c r="J3" s="47" t="s">
        <v>47</v>
      </c>
      <c r="K3" s="42" t="s">
        <v>713</v>
      </c>
    </row>
    <row r="4" spans="1:11" x14ac:dyDescent="0.35">
      <c r="A4" s="1" t="s">
        <v>1696</v>
      </c>
      <c r="B4" s="47" t="s">
        <v>1694</v>
      </c>
      <c r="C4" s="47" t="s">
        <v>1525</v>
      </c>
      <c r="D4" s="47" t="s">
        <v>393</v>
      </c>
      <c r="E4" s="47" t="s">
        <v>44</v>
      </c>
      <c r="F4" s="48">
        <v>-8.6199999999999992</v>
      </c>
      <c r="G4" s="48"/>
      <c r="H4" s="47" t="s">
        <v>136</v>
      </c>
      <c r="I4" s="47" t="s">
        <v>137</v>
      </c>
      <c r="J4" s="47" t="s">
        <v>395</v>
      </c>
      <c r="K4" s="42" t="s">
        <v>713</v>
      </c>
    </row>
    <row r="5" spans="1:11" x14ac:dyDescent="0.35">
      <c r="A5" s="1" t="s">
        <v>1685</v>
      </c>
      <c r="B5" s="47" t="s">
        <v>1686</v>
      </c>
      <c r="C5" s="47" t="s">
        <v>1687</v>
      </c>
      <c r="D5" s="47" t="s">
        <v>1688</v>
      </c>
      <c r="E5" s="47" t="s">
        <v>44</v>
      </c>
      <c r="F5" s="48">
        <v>-44.95</v>
      </c>
      <c r="G5" s="48"/>
      <c r="H5" s="47" t="s">
        <v>50</v>
      </c>
      <c r="I5" s="47" t="s">
        <v>195</v>
      </c>
      <c r="J5" s="47" t="s">
        <v>91</v>
      </c>
      <c r="K5" s="42" t="s">
        <v>713</v>
      </c>
    </row>
    <row r="6" spans="1:11" x14ac:dyDescent="0.35">
      <c r="A6" s="1" t="s">
        <v>1689</v>
      </c>
      <c r="B6" s="47" t="s">
        <v>1686</v>
      </c>
      <c r="C6" s="47" t="s">
        <v>1687</v>
      </c>
      <c r="D6" s="47" t="s">
        <v>121</v>
      </c>
      <c r="E6" s="47" t="s">
        <v>44</v>
      </c>
      <c r="F6" s="48">
        <v>-26.88</v>
      </c>
      <c r="G6" s="48"/>
      <c r="H6" s="47" t="s">
        <v>50</v>
      </c>
      <c r="I6" s="47" t="s">
        <v>15</v>
      </c>
      <c r="J6" s="47" t="s">
        <v>47</v>
      </c>
      <c r="K6" s="42" t="s">
        <v>713</v>
      </c>
    </row>
    <row r="7" spans="1:11" x14ac:dyDescent="0.35">
      <c r="A7" s="1" t="s">
        <v>1690</v>
      </c>
      <c r="B7" s="47" t="s">
        <v>1686</v>
      </c>
      <c r="C7" s="47" t="s">
        <v>1687</v>
      </c>
      <c r="D7" s="47" t="s">
        <v>431</v>
      </c>
      <c r="E7" s="47" t="s">
        <v>44</v>
      </c>
      <c r="F7" s="48">
        <v>-14</v>
      </c>
      <c r="G7" s="48"/>
      <c r="H7" s="47" t="s">
        <v>251</v>
      </c>
      <c r="I7" s="47" t="s">
        <v>288</v>
      </c>
      <c r="J7" s="47" t="s">
        <v>47</v>
      </c>
      <c r="K7" s="42" t="s">
        <v>713</v>
      </c>
    </row>
    <row r="8" spans="1:11" x14ac:dyDescent="0.35">
      <c r="A8" s="1" t="s">
        <v>1691</v>
      </c>
      <c r="B8" s="47" t="s">
        <v>1686</v>
      </c>
      <c r="C8" s="47" t="s">
        <v>1686</v>
      </c>
      <c r="D8" s="47" t="s">
        <v>1692</v>
      </c>
      <c r="E8" s="47" t="s">
        <v>44</v>
      </c>
      <c r="F8" s="48">
        <v>470</v>
      </c>
      <c r="G8" s="48"/>
      <c r="H8" s="47" t="s">
        <v>176</v>
      </c>
      <c r="I8" s="47" t="s">
        <v>59</v>
      </c>
      <c r="J8" s="47" t="s">
        <v>60</v>
      </c>
      <c r="K8" s="42" t="s">
        <v>713</v>
      </c>
    </row>
    <row r="9" spans="1:11" x14ac:dyDescent="0.35">
      <c r="A9" s="1" t="s">
        <v>1683</v>
      </c>
      <c r="B9" s="47" t="s">
        <v>1684</v>
      </c>
      <c r="C9" s="47" t="s">
        <v>1684</v>
      </c>
      <c r="D9" s="47" t="s">
        <v>688</v>
      </c>
      <c r="E9" s="47" t="s">
        <v>44</v>
      </c>
      <c r="F9" s="48">
        <v>-3000</v>
      </c>
      <c r="G9" s="48" t="s">
        <v>97</v>
      </c>
      <c r="H9" s="47" t="s">
        <v>98</v>
      </c>
      <c r="I9" s="47" t="s">
        <v>78</v>
      </c>
      <c r="J9" s="47" t="s">
        <v>60</v>
      </c>
      <c r="K9" s="42" t="s">
        <v>713</v>
      </c>
    </row>
    <row r="10" spans="1:11" x14ac:dyDescent="0.35">
      <c r="A10" s="1" t="s">
        <v>1682</v>
      </c>
      <c r="B10" s="47" t="s">
        <v>1681</v>
      </c>
      <c r="C10" s="47" t="s">
        <v>1675</v>
      </c>
      <c r="D10" s="47" t="s">
        <v>63</v>
      </c>
      <c r="E10" s="47" t="s">
        <v>44</v>
      </c>
      <c r="F10" s="48">
        <v>-6.27</v>
      </c>
      <c r="G10" s="48"/>
      <c r="H10" s="47" t="s">
        <v>50</v>
      </c>
      <c r="I10" s="47" t="s">
        <v>15</v>
      </c>
      <c r="J10" s="47" t="s">
        <v>47</v>
      </c>
      <c r="K10" s="42" t="s">
        <v>713</v>
      </c>
    </row>
    <row r="11" spans="1:11" x14ac:dyDescent="0.35">
      <c r="A11" s="1" t="s">
        <v>1680</v>
      </c>
      <c r="B11" s="47" t="s">
        <v>1681</v>
      </c>
      <c r="C11" s="47" t="s">
        <v>1525</v>
      </c>
      <c r="D11" s="47" t="s">
        <v>401</v>
      </c>
      <c r="E11" s="47" t="s">
        <v>44</v>
      </c>
      <c r="F11" s="48">
        <v>-4.5</v>
      </c>
      <c r="G11" s="48"/>
      <c r="H11" s="47" t="s">
        <v>136</v>
      </c>
      <c r="I11" s="47" t="s">
        <v>402</v>
      </c>
      <c r="J11" s="47" t="s">
        <v>403</v>
      </c>
      <c r="K11" s="42" t="s">
        <v>713</v>
      </c>
    </row>
    <row r="12" spans="1:11" x14ac:dyDescent="0.35">
      <c r="A12" s="1" t="s">
        <v>1678</v>
      </c>
      <c r="B12" s="47" t="s">
        <v>1679</v>
      </c>
      <c r="C12" s="47" t="s">
        <v>1675</v>
      </c>
      <c r="D12" s="47" t="s">
        <v>164</v>
      </c>
      <c r="E12" s="47" t="s">
        <v>44</v>
      </c>
      <c r="F12" s="48">
        <v>-18.98</v>
      </c>
      <c r="G12" s="48"/>
      <c r="H12" s="47" t="s">
        <v>50</v>
      </c>
      <c r="I12" s="47" t="s">
        <v>165</v>
      </c>
      <c r="J12" s="47" t="s">
        <v>91</v>
      </c>
      <c r="K12" s="42" t="s">
        <v>713</v>
      </c>
    </row>
    <row r="13" spans="1:11" x14ac:dyDescent="0.35">
      <c r="A13" s="1" t="s">
        <v>1676</v>
      </c>
      <c r="B13" s="47" t="s">
        <v>1675</v>
      </c>
      <c r="C13" s="47" t="s">
        <v>1667</v>
      </c>
      <c r="D13" s="47" t="s">
        <v>455</v>
      </c>
      <c r="E13" s="47" t="s">
        <v>44</v>
      </c>
      <c r="F13" s="48">
        <v>-57.15</v>
      </c>
      <c r="G13" s="48"/>
      <c r="H13" s="47" t="s">
        <v>50</v>
      </c>
      <c r="I13" s="47" t="s">
        <v>15</v>
      </c>
      <c r="J13" s="47" t="s">
        <v>47</v>
      </c>
      <c r="K13" s="42" t="s">
        <v>713</v>
      </c>
    </row>
    <row r="14" spans="1:11" x14ac:dyDescent="0.35">
      <c r="A14" s="1" t="s">
        <v>1674</v>
      </c>
      <c r="B14" s="47" t="s">
        <v>1675</v>
      </c>
      <c r="C14" s="47" t="s">
        <v>1667</v>
      </c>
      <c r="D14" s="47" t="s">
        <v>1603</v>
      </c>
      <c r="E14" s="47" t="s">
        <v>44</v>
      </c>
      <c r="F14" s="48">
        <v>-54.69</v>
      </c>
      <c r="G14" s="48"/>
      <c r="H14" s="47" t="s">
        <v>90</v>
      </c>
      <c r="I14" s="47" t="s">
        <v>106</v>
      </c>
      <c r="J14" s="47" t="s">
        <v>91</v>
      </c>
      <c r="K14" s="42" t="s">
        <v>713</v>
      </c>
    </row>
    <row r="15" spans="1:11" x14ac:dyDescent="0.35">
      <c r="A15" s="1" t="s">
        <v>1677</v>
      </c>
      <c r="B15" s="47" t="s">
        <v>1675</v>
      </c>
      <c r="C15" s="47" t="s">
        <v>1667</v>
      </c>
      <c r="D15" s="47" t="s">
        <v>773</v>
      </c>
      <c r="E15" s="47" t="s">
        <v>44</v>
      </c>
      <c r="F15" s="48">
        <v>-0.4</v>
      </c>
      <c r="G15" s="48"/>
      <c r="H15" s="47" t="s">
        <v>73</v>
      </c>
      <c r="I15" s="47" t="s">
        <v>112</v>
      </c>
      <c r="J15" s="47" t="s">
        <v>47</v>
      </c>
      <c r="K15" s="42" t="s">
        <v>713</v>
      </c>
    </row>
    <row r="16" spans="1:11" x14ac:dyDescent="0.35">
      <c r="A16" s="1" t="s">
        <v>1672</v>
      </c>
      <c r="B16" s="47" t="s">
        <v>1673</v>
      </c>
      <c r="C16" s="47" t="s">
        <v>1673</v>
      </c>
      <c r="D16" s="47" t="s">
        <v>731</v>
      </c>
      <c r="E16" s="47" t="s">
        <v>44</v>
      </c>
      <c r="F16" s="48">
        <v>-41.25</v>
      </c>
      <c r="G16" s="48"/>
      <c r="H16" s="47" t="s">
        <v>45</v>
      </c>
      <c r="I16" s="47" t="s">
        <v>46</v>
      </c>
      <c r="J16" s="47" t="s">
        <v>79</v>
      </c>
      <c r="K16" s="42" t="s">
        <v>713</v>
      </c>
    </row>
    <row r="17" spans="1:11" x14ac:dyDescent="0.35">
      <c r="A17" s="1" t="s">
        <v>1669</v>
      </c>
      <c r="B17" s="47" t="s">
        <v>1667</v>
      </c>
      <c r="C17" s="47" t="s">
        <v>1668</v>
      </c>
      <c r="D17" s="47" t="s">
        <v>197</v>
      </c>
      <c r="E17" s="47" t="s">
        <v>44</v>
      </c>
      <c r="F17" s="48">
        <v>-114.9</v>
      </c>
      <c r="G17" s="48"/>
      <c r="H17" s="47" t="s">
        <v>50</v>
      </c>
      <c r="I17" s="47" t="s">
        <v>19</v>
      </c>
      <c r="J17" s="47" t="s">
        <v>47</v>
      </c>
      <c r="K17" s="42" t="s">
        <v>713</v>
      </c>
    </row>
    <row r="18" spans="1:11" x14ac:dyDescent="0.35">
      <c r="A18" s="1" t="s">
        <v>1671</v>
      </c>
      <c r="B18" s="47" t="s">
        <v>1667</v>
      </c>
      <c r="C18" s="47" t="s">
        <v>1668</v>
      </c>
      <c r="D18" s="47" t="s">
        <v>431</v>
      </c>
      <c r="E18" s="47" t="s">
        <v>44</v>
      </c>
      <c r="F18" s="48">
        <v>-76.8</v>
      </c>
      <c r="G18" s="48"/>
      <c r="H18" s="47" t="s">
        <v>251</v>
      </c>
      <c r="I18" s="47" t="s">
        <v>288</v>
      </c>
      <c r="J18" s="47" t="s">
        <v>47</v>
      </c>
      <c r="K18" s="42" t="s">
        <v>713</v>
      </c>
    </row>
    <row r="19" spans="1:11" x14ac:dyDescent="0.35">
      <c r="A19" s="1" t="s">
        <v>1666</v>
      </c>
      <c r="B19" s="47" t="s">
        <v>1667</v>
      </c>
      <c r="C19" s="47" t="s">
        <v>1668</v>
      </c>
      <c r="D19" s="47" t="s">
        <v>561</v>
      </c>
      <c r="E19" s="47" t="s">
        <v>44</v>
      </c>
      <c r="F19" s="48">
        <v>-36.15</v>
      </c>
      <c r="G19" s="48"/>
      <c r="H19" s="47" t="s">
        <v>90</v>
      </c>
      <c r="I19" s="47" t="s">
        <v>106</v>
      </c>
      <c r="J19" s="47" t="s">
        <v>47</v>
      </c>
      <c r="K19" s="42" t="s">
        <v>713</v>
      </c>
    </row>
    <row r="20" spans="1:11" x14ac:dyDescent="0.35">
      <c r="A20" s="1" t="s">
        <v>1670</v>
      </c>
      <c r="B20" s="47" t="s">
        <v>1667</v>
      </c>
      <c r="C20" s="47" t="s">
        <v>1668</v>
      </c>
      <c r="D20" s="47" t="s">
        <v>189</v>
      </c>
      <c r="E20" s="47" t="s">
        <v>44</v>
      </c>
      <c r="F20" s="48">
        <v>-4.8</v>
      </c>
      <c r="G20" s="48"/>
      <c r="H20" s="47" t="s">
        <v>45</v>
      </c>
      <c r="I20" s="47" t="s">
        <v>46</v>
      </c>
      <c r="J20" s="47" t="s">
        <v>47</v>
      </c>
      <c r="K20" s="42" t="s">
        <v>713</v>
      </c>
    </row>
    <row r="21" spans="1:11" x14ac:dyDescent="0.35">
      <c r="A21" s="1" t="s">
        <v>1664</v>
      </c>
      <c r="B21" s="47" t="s">
        <v>1665</v>
      </c>
      <c r="C21" s="47" t="s">
        <v>1651</v>
      </c>
      <c r="D21" s="47" t="s">
        <v>63</v>
      </c>
      <c r="E21" s="47" t="s">
        <v>44</v>
      </c>
      <c r="F21" s="48">
        <v>-1.3</v>
      </c>
      <c r="G21" s="48"/>
      <c r="H21" s="47" t="s">
        <v>50</v>
      </c>
      <c r="I21" s="47" t="s">
        <v>15</v>
      </c>
      <c r="J21" s="47" t="s">
        <v>47</v>
      </c>
      <c r="K21" s="42" t="s">
        <v>713</v>
      </c>
    </row>
    <row r="22" spans="1:11" x14ac:dyDescent="0.35">
      <c r="A22" s="1" t="s">
        <v>1660</v>
      </c>
      <c r="B22" s="47" t="s">
        <v>1658</v>
      </c>
      <c r="C22" s="47" t="s">
        <v>1658</v>
      </c>
      <c r="D22" s="47" t="s">
        <v>1661</v>
      </c>
      <c r="E22" s="47" t="s">
        <v>44</v>
      </c>
      <c r="F22" s="48">
        <v>-500</v>
      </c>
      <c r="G22" s="48"/>
      <c r="H22" s="47" t="s">
        <v>98</v>
      </c>
      <c r="I22" s="47" t="s">
        <v>124</v>
      </c>
      <c r="J22" s="47" t="s">
        <v>60</v>
      </c>
      <c r="K22" s="42" t="s">
        <v>713</v>
      </c>
    </row>
    <row r="23" spans="1:11" x14ac:dyDescent="0.35">
      <c r="A23" s="1" t="s">
        <v>1662</v>
      </c>
      <c r="B23" s="47" t="s">
        <v>1658</v>
      </c>
      <c r="C23" s="47" t="s">
        <v>1658</v>
      </c>
      <c r="D23" s="47" t="s">
        <v>1663</v>
      </c>
      <c r="E23" s="47" t="s">
        <v>44</v>
      </c>
      <c r="F23" s="48">
        <v>-92</v>
      </c>
      <c r="G23" s="48"/>
      <c r="H23" s="47" t="s">
        <v>98</v>
      </c>
      <c r="I23" s="47" t="s">
        <v>1697</v>
      </c>
      <c r="J23" s="47" t="s">
        <v>1422</v>
      </c>
      <c r="K23" s="42" t="s">
        <v>713</v>
      </c>
    </row>
    <row r="24" spans="1:11" x14ac:dyDescent="0.35">
      <c r="A24" s="1" t="s">
        <v>1657</v>
      </c>
      <c r="B24" s="47" t="s">
        <v>1658</v>
      </c>
      <c r="C24" s="47" t="s">
        <v>1659</v>
      </c>
      <c r="D24" s="47" t="s">
        <v>287</v>
      </c>
      <c r="E24" s="47" t="s">
        <v>44</v>
      </c>
      <c r="F24" s="48">
        <v>-37.5</v>
      </c>
      <c r="G24" s="48"/>
      <c r="H24" s="47" t="s">
        <v>251</v>
      </c>
      <c r="I24" s="47" t="s">
        <v>288</v>
      </c>
      <c r="J24" s="47" t="s">
        <v>47</v>
      </c>
      <c r="K24" s="42" t="s">
        <v>713</v>
      </c>
    </row>
    <row r="25" spans="1:11" x14ac:dyDescent="0.35">
      <c r="A25" s="1" t="s">
        <v>1654</v>
      </c>
      <c r="B25" s="47" t="s">
        <v>1651</v>
      </c>
      <c r="C25" s="47" t="s">
        <v>1652</v>
      </c>
      <c r="D25" s="47" t="s">
        <v>63</v>
      </c>
      <c r="E25" s="47" t="s">
        <v>44</v>
      </c>
      <c r="F25" s="48">
        <v>-65.08</v>
      </c>
      <c r="G25" s="48"/>
      <c r="H25" s="47" t="s">
        <v>50</v>
      </c>
      <c r="I25" s="47" t="s">
        <v>15</v>
      </c>
      <c r="J25" s="47" t="s">
        <v>47</v>
      </c>
      <c r="K25" s="42" t="s">
        <v>713</v>
      </c>
    </row>
    <row r="26" spans="1:11" x14ac:dyDescent="0.35">
      <c r="A26" s="1" t="s">
        <v>1656</v>
      </c>
      <c r="B26" s="47" t="s">
        <v>1651</v>
      </c>
      <c r="C26" s="47" t="s">
        <v>1652</v>
      </c>
      <c r="D26" s="47" t="s">
        <v>194</v>
      </c>
      <c r="E26" s="47" t="s">
        <v>44</v>
      </c>
      <c r="F26" s="48">
        <v>-27.77</v>
      </c>
      <c r="G26" s="48"/>
      <c r="H26" s="47" t="s">
        <v>50</v>
      </c>
      <c r="I26" s="47" t="s">
        <v>195</v>
      </c>
      <c r="J26" s="47" t="s">
        <v>47</v>
      </c>
      <c r="K26" s="42" t="s">
        <v>713</v>
      </c>
    </row>
    <row r="27" spans="1:11" x14ac:dyDescent="0.35">
      <c r="A27" s="1" t="s">
        <v>1650</v>
      </c>
      <c r="B27" s="47" t="s">
        <v>1651</v>
      </c>
      <c r="C27" s="47" t="s">
        <v>1652</v>
      </c>
      <c r="D27" s="47" t="s">
        <v>1653</v>
      </c>
      <c r="E27" s="47" t="s">
        <v>44</v>
      </c>
      <c r="F27" s="48">
        <v>-20</v>
      </c>
      <c r="G27" s="48"/>
      <c r="H27" s="47" t="s">
        <v>45</v>
      </c>
      <c r="I27" s="47" t="s">
        <v>46</v>
      </c>
      <c r="J27" s="47" t="s">
        <v>47</v>
      </c>
      <c r="K27" s="42" t="s">
        <v>713</v>
      </c>
    </row>
    <row r="28" spans="1:11" x14ac:dyDescent="0.35">
      <c r="A28" s="1" t="s">
        <v>1655</v>
      </c>
      <c r="B28" s="47" t="s">
        <v>1651</v>
      </c>
      <c r="C28" s="47" t="s">
        <v>1652</v>
      </c>
      <c r="D28" s="47" t="s">
        <v>1250</v>
      </c>
      <c r="E28" s="47" t="s">
        <v>44</v>
      </c>
      <c r="F28" s="48">
        <v>-18.12</v>
      </c>
      <c r="G28" s="48"/>
      <c r="H28" s="47" t="s">
        <v>50</v>
      </c>
      <c r="I28" s="47" t="s">
        <v>78</v>
      </c>
      <c r="J28" s="47" t="s">
        <v>47</v>
      </c>
      <c r="K28" s="42" t="s">
        <v>713</v>
      </c>
    </row>
    <row r="29" spans="1:11" x14ac:dyDescent="0.35">
      <c r="A29" s="1" t="s">
        <v>1648</v>
      </c>
      <c r="B29" s="47" t="s">
        <v>1649</v>
      </c>
      <c r="C29" s="47" t="s">
        <v>1646</v>
      </c>
      <c r="D29" s="47" t="s">
        <v>63</v>
      </c>
      <c r="E29" s="47" t="s">
        <v>44</v>
      </c>
      <c r="F29" s="48">
        <v>-5.16</v>
      </c>
      <c r="G29" s="48"/>
      <c r="H29" s="47" t="s">
        <v>50</v>
      </c>
      <c r="I29" s="47" t="s">
        <v>15</v>
      </c>
      <c r="J29" s="47" t="s">
        <v>47</v>
      </c>
      <c r="K29" s="42" t="s">
        <v>713</v>
      </c>
    </row>
    <row r="30" spans="1:11" x14ac:dyDescent="0.35">
      <c r="A30" s="1" t="s">
        <v>1647</v>
      </c>
      <c r="B30" s="47" t="s">
        <v>1646</v>
      </c>
      <c r="C30" s="47" t="s">
        <v>1646</v>
      </c>
      <c r="D30" s="47" t="s">
        <v>731</v>
      </c>
      <c r="E30" s="47" t="s">
        <v>44</v>
      </c>
      <c r="F30" s="48">
        <v>-50.4</v>
      </c>
      <c r="G30" s="48"/>
      <c r="H30" s="47" t="s">
        <v>77</v>
      </c>
      <c r="I30" s="47" t="s">
        <v>78</v>
      </c>
      <c r="J30" s="47" t="s">
        <v>79</v>
      </c>
      <c r="K30" s="42" t="s">
        <v>713</v>
      </c>
    </row>
    <row r="31" spans="1:11" x14ac:dyDescent="0.35">
      <c r="A31" s="1" t="s">
        <v>1645</v>
      </c>
      <c r="B31" s="47" t="s">
        <v>1646</v>
      </c>
      <c r="C31" s="47" t="s">
        <v>1646</v>
      </c>
      <c r="D31" s="47" t="s">
        <v>211</v>
      </c>
      <c r="E31" s="47" t="s">
        <v>44</v>
      </c>
      <c r="F31" s="48">
        <v>3326.29</v>
      </c>
      <c r="G31" s="48"/>
      <c r="H31" s="47" t="s">
        <v>58</v>
      </c>
      <c r="I31" s="47" t="s">
        <v>59</v>
      </c>
      <c r="J31" s="47" t="s">
        <v>60</v>
      </c>
      <c r="K31" s="42" t="s">
        <v>713</v>
      </c>
    </row>
    <row r="32" spans="1:11" x14ac:dyDescent="0.35">
      <c r="A32" s="1"/>
      <c r="B32" s="47" t="s">
        <v>1646</v>
      </c>
      <c r="C32" s="47" t="s">
        <v>1646</v>
      </c>
      <c r="D32" s="47" t="s">
        <v>1292</v>
      </c>
      <c r="E32" s="47" t="s">
        <v>44</v>
      </c>
      <c r="F32" s="48">
        <v>-881.2</v>
      </c>
      <c r="G32" s="48"/>
      <c r="H32" s="47" t="s">
        <v>1698</v>
      </c>
      <c r="I32" s="47" t="s">
        <v>205</v>
      </c>
      <c r="J32" s="47"/>
      <c r="K32" s="42"/>
    </row>
    <row r="33" spans="1:11" x14ac:dyDescent="0.35">
      <c r="A33" s="1" t="s">
        <v>1642</v>
      </c>
      <c r="B33" s="47" t="s">
        <v>1640</v>
      </c>
      <c r="C33" s="49">
        <v>46053</v>
      </c>
      <c r="D33" s="47" t="s">
        <v>1643</v>
      </c>
      <c r="E33" s="47" t="s">
        <v>44</v>
      </c>
      <c r="F33" s="48">
        <v>-22</v>
      </c>
      <c r="G33" s="48"/>
      <c r="H33" s="47" t="s">
        <v>136</v>
      </c>
      <c r="I33" s="47" t="s">
        <v>137</v>
      </c>
      <c r="J33" s="47" t="s">
        <v>47</v>
      </c>
      <c r="K33" s="42" t="s">
        <v>713</v>
      </c>
    </row>
    <row r="34" spans="1:11" x14ac:dyDescent="0.35">
      <c r="A34" s="6" t="s">
        <v>1639</v>
      </c>
      <c r="B34" s="7" t="s">
        <v>1640</v>
      </c>
      <c r="C34" s="9">
        <v>46053</v>
      </c>
      <c r="D34" s="7" t="s">
        <v>1641</v>
      </c>
      <c r="E34" s="7" t="s">
        <v>44</v>
      </c>
      <c r="F34" s="10">
        <v>-2.99</v>
      </c>
      <c r="G34" s="10"/>
      <c r="H34" s="7" t="s">
        <v>45</v>
      </c>
      <c r="I34" s="7" t="s">
        <v>46</v>
      </c>
      <c r="J34" s="7" t="s">
        <v>91</v>
      </c>
      <c r="K34" s="43" t="s">
        <v>713</v>
      </c>
    </row>
    <row r="35" spans="1:11" x14ac:dyDescent="0.35">
      <c r="A35" s="6" t="s">
        <v>1644</v>
      </c>
      <c r="B35" s="7" t="s">
        <v>1640</v>
      </c>
      <c r="C35" s="7" t="s">
        <v>1640</v>
      </c>
      <c r="D35" s="7" t="s">
        <v>57</v>
      </c>
      <c r="E35" s="7" t="s">
        <v>44</v>
      </c>
      <c r="F35" s="10">
        <v>1547.65</v>
      </c>
      <c r="G35" s="10"/>
      <c r="H35" s="7" t="s">
        <v>58</v>
      </c>
      <c r="I35" s="7" t="s">
        <v>59</v>
      </c>
      <c r="J35" s="7" t="s">
        <v>60</v>
      </c>
      <c r="K35" s="43" t="s">
        <v>713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4739-7FAF-489C-98BA-023F342BB7F3}">
  <dimension ref="A1:B33"/>
  <sheetViews>
    <sheetView workbookViewId="0">
      <selection activeCell="B20" sqref="B20"/>
    </sheetView>
  </sheetViews>
  <sheetFormatPr defaultRowHeight="12.75" x14ac:dyDescent="0.35"/>
  <cols>
    <col min="1" max="1" width="31.33203125" bestFit="1" customWidth="1"/>
    <col min="2" max="2" width="14.6640625" bestFit="1" customWidth="1"/>
  </cols>
  <sheetData>
    <row r="1" spans="1:2" x14ac:dyDescent="0.35">
      <c r="A1" s="13" t="s">
        <v>410</v>
      </c>
      <c r="B1" t="s">
        <v>206</v>
      </c>
    </row>
    <row r="3" spans="1:2" x14ac:dyDescent="0.35">
      <c r="A3" s="13" t="s">
        <v>326</v>
      </c>
      <c r="B3" t="s">
        <v>207</v>
      </c>
    </row>
    <row r="4" spans="1:2" x14ac:dyDescent="0.35">
      <c r="A4" s="14" t="s">
        <v>176</v>
      </c>
      <c r="B4" s="12">
        <v>470</v>
      </c>
    </row>
    <row r="5" spans="1:2" x14ac:dyDescent="0.35">
      <c r="A5" s="28" t="s">
        <v>59</v>
      </c>
      <c r="B5" s="12">
        <v>470</v>
      </c>
    </row>
    <row r="6" spans="1:2" x14ac:dyDescent="0.35">
      <c r="A6" s="14" t="s">
        <v>98</v>
      </c>
      <c r="B6" s="12">
        <v>-592</v>
      </c>
    </row>
    <row r="7" spans="1:2" x14ac:dyDescent="0.35">
      <c r="A7" s="28" t="s">
        <v>124</v>
      </c>
      <c r="B7" s="12">
        <v>-500</v>
      </c>
    </row>
    <row r="8" spans="1:2" x14ac:dyDescent="0.35">
      <c r="A8" s="28" t="s">
        <v>1697</v>
      </c>
      <c r="B8" s="12">
        <v>-92</v>
      </c>
    </row>
    <row r="9" spans="1:2" x14ac:dyDescent="0.35">
      <c r="A9" s="14" t="s">
        <v>45</v>
      </c>
      <c r="B9" s="12">
        <v>-69.039999999999992</v>
      </c>
    </row>
    <row r="10" spans="1:2" x14ac:dyDescent="0.35">
      <c r="A10" s="28" t="s">
        <v>46</v>
      </c>
      <c r="B10" s="12">
        <v>-69.039999999999992</v>
      </c>
    </row>
    <row r="11" spans="1:2" x14ac:dyDescent="0.35">
      <c r="A11" s="14" t="s">
        <v>50</v>
      </c>
      <c r="B11" s="12">
        <v>-511.76</v>
      </c>
    </row>
    <row r="12" spans="1:2" x14ac:dyDescent="0.35">
      <c r="A12" s="28" t="s">
        <v>165</v>
      </c>
      <c r="B12" s="12">
        <v>-18.98</v>
      </c>
    </row>
    <row r="13" spans="1:2" x14ac:dyDescent="0.35">
      <c r="A13" s="28" t="s">
        <v>15</v>
      </c>
      <c r="B13" s="12">
        <v>-161.84</v>
      </c>
    </row>
    <row r="14" spans="1:2" x14ac:dyDescent="0.35">
      <c r="A14" s="28" t="s">
        <v>195</v>
      </c>
      <c r="B14" s="12">
        <v>-72.72</v>
      </c>
    </row>
    <row r="15" spans="1:2" x14ac:dyDescent="0.35">
      <c r="A15" s="28" t="s">
        <v>78</v>
      </c>
      <c r="B15" s="12">
        <v>-18.12</v>
      </c>
    </row>
    <row r="16" spans="1:2" x14ac:dyDescent="0.35">
      <c r="A16" s="28" t="s">
        <v>19</v>
      </c>
      <c r="B16" s="12">
        <v>-240.10000000000002</v>
      </c>
    </row>
    <row r="17" spans="1:2" x14ac:dyDescent="0.35">
      <c r="A17" s="14" t="s">
        <v>58</v>
      </c>
      <c r="B17" s="12">
        <v>4873.9400000000005</v>
      </c>
    </row>
    <row r="18" spans="1:2" x14ac:dyDescent="0.35">
      <c r="A18" s="28" t="s">
        <v>59</v>
      </c>
      <c r="B18" s="12">
        <v>4873.9400000000005</v>
      </c>
    </row>
    <row r="19" spans="1:2" x14ac:dyDescent="0.35">
      <c r="A19" s="14" t="s">
        <v>251</v>
      </c>
      <c r="B19" s="12">
        <v>-128.30000000000001</v>
      </c>
    </row>
    <row r="20" spans="1:2" x14ac:dyDescent="0.35">
      <c r="A20" s="28" t="s">
        <v>288</v>
      </c>
      <c r="B20" s="12">
        <v>-128.30000000000001</v>
      </c>
    </row>
    <row r="21" spans="1:2" x14ac:dyDescent="0.35">
      <c r="A21" s="14" t="s">
        <v>90</v>
      </c>
      <c r="B21" s="12">
        <v>-185.31</v>
      </c>
    </row>
    <row r="22" spans="1:2" x14ac:dyDescent="0.35">
      <c r="A22" s="28" t="s">
        <v>106</v>
      </c>
      <c r="B22" s="12">
        <v>-90.84</v>
      </c>
    </row>
    <row r="23" spans="1:2" x14ac:dyDescent="0.35">
      <c r="A23" s="28" t="s">
        <v>590</v>
      </c>
      <c r="B23" s="12">
        <v>-94.47</v>
      </c>
    </row>
    <row r="24" spans="1:2" x14ac:dyDescent="0.35">
      <c r="A24" s="14" t="s">
        <v>136</v>
      </c>
      <c r="B24" s="12">
        <v>-35.119999999999997</v>
      </c>
    </row>
    <row r="25" spans="1:2" x14ac:dyDescent="0.35">
      <c r="A25" s="28" t="s">
        <v>402</v>
      </c>
      <c r="B25" s="12">
        <v>-4.5</v>
      </c>
    </row>
    <row r="26" spans="1:2" x14ac:dyDescent="0.35">
      <c r="A26" s="28" t="s">
        <v>137</v>
      </c>
      <c r="B26" s="12">
        <v>-30.619999999999997</v>
      </c>
    </row>
    <row r="27" spans="1:2" x14ac:dyDescent="0.35">
      <c r="A27" s="14" t="s">
        <v>77</v>
      </c>
      <c r="B27" s="12">
        <v>-50.4</v>
      </c>
    </row>
    <row r="28" spans="1:2" x14ac:dyDescent="0.35">
      <c r="A28" s="28" t="s">
        <v>78</v>
      </c>
      <c r="B28" s="12">
        <v>-50.4</v>
      </c>
    </row>
    <row r="29" spans="1:2" x14ac:dyDescent="0.35">
      <c r="A29" s="14" t="s">
        <v>73</v>
      </c>
      <c r="B29" s="12">
        <v>-0.4</v>
      </c>
    </row>
    <row r="30" spans="1:2" x14ac:dyDescent="0.35">
      <c r="A30" s="28" t="s">
        <v>112</v>
      </c>
      <c r="B30" s="12">
        <v>-0.4</v>
      </c>
    </row>
    <row r="31" spans="1:2" x14ac:dyDescent="0.35">
      <c r="A31" s="14" t="s">
        <v>1698</v>
      </c>
      <c r="B31" s="12">
        <v>-881.2</v>
      </c>
    </row>
    <row r="32" spans="1:2" x14ac:dyDescent="0.35">
      <c r="A32" s="28" t="s">
        <v>205</v>
      </c>
      <c r="B32" s="12">
        <v>-881.2</v>
      </c>
    </row>
    <row r="33" spans="1:2" x14ac:dyDescent="0.35">
      <c r="A33" s="14" t="s">
        <v>208</v>
      </c>
      <c r="B33" s="12">
        <v>2890.41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Budget Mensile</vt:lpstr>
      <vt:lpstr>11-2024</vt:lpstr>
      <vt:lpstr>Pivot 11-2024</vt:lpstr>
      <vt:lpstr>12-2024</vt:lpstr>
      <vt:lpstr>Pivot 12-2024</vt:lpstr>
      <vt:lpstr>01-2025</vt:lpstr>
      <vt:lpstr>Pivot 01-2025</vt:lpstr>
      <vt:lpstr>02-2025</vt:lpstr>
      <vt:lpstr>Pivot 02-2025</vt:lpstr>
      <vt:lpstr>03-2025</vt:lpstr>
      <vt:lpstr>Pivot 03-2025</vt:lpstr>
      <vt:lpstr>04-2025</vt:lpstr>
      <vt:lpstr>Pivot 04-2025</vt:lpstr>
      <vt:lpstr>05-2025</vt:lpstr>
      <vt:lpstr>Pivot 05-2025</vt:lpstr>
      <vt:lpstr>06-2025</vt:lpstr>
      <vt:lpstr>Pivot 06-2025</vt:lpstr>
      <vt:lpstr>07-2025</vt:lpstr>
      <vt:lpstr>Pivot 07-2025</vt:lpstr>
      <vt:lpstr>08-2025</vt:lpstr>
      <vt:lpstr>Pivot 08-2025</vt:lpstr>
      <vt:lpstr>Ferie Islanda</vt:lpstr>
      <vt:lpstr>09-2025</vt:lpstr>
      <vt:lpstr>Pivot 09-2025</vt:lpstr>
      <vt:lpstr>10-2025</vt:lpstr>
      <vt:lpstr>Pivot 10-2025</vt:lpstr>
      <vt:lpstr>11-2025</vt:lpstr>
      <vt:lpstr>Pivot 11-2025</vt:lpstr>
      <vt:lpstr>12-2025</vt:lpstr>
      <vt:lpstr>Pivot 12-2025</vt:lpstr>
      <vt:lpstr>01-2026</vt:lpstr>
      <vt:lpstr>Pivot 01-2026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Simone Bertaccini</cp:lastModifiedBy>
  <cp:revision/>
  <dcterms:created xsi:type="dcterms:W3CDTF">2024-12-02T11:58:18Z</dcterms:created>
  <dcterms:modified xsi:type="dcterms:W3CDTF">2026-01-31T14:07:39Z</dcterms:modified>
  <cp:category/>
  <cp:contentStatus/>
</cp:coreProperties>
</file>